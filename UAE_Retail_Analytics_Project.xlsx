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W:\Documents\UAE-Retail-Operations-Analytics\Clone\uae-retail-operations-analytics\"/>
    </mc:Choice>
  </mc:AlternateContent>
  <xr:revisionPtr revIDLastSave="0" documentId="13_ncr:1_{453C965C-8E6A-4A39-AAB6-59DD84510C02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Regional Sales" sheetId="9" r:id="rId1"/>
    <sheet name="Channel_Sales" sheetId="10" r:id="rId2"/>
    <sheet name="Category_Sales" sheetId="11" r:id="rId3"/>
    <sheet name="KPI_Dashboard" sheetId="13" r:id="rId4"/>
    <sheet name="Raw_Data" sheetId="1" r:id="rId5"/>
    <sheet name="Data_Quality" sheetId="14" r:id="rId6"/>
    <sheet name="Project_Overview" sheetId="2" r:id="rId7"/>
    <sheet name="Build_Steps" sheetId="3" r:id="rId8"/>
  </sheets>
  <externalReferences>
    <externalReference r:id="rId9"/>
  </externalReferences>
  <definedNames>
    <definedName name="_xlnm._FilterDatabase" localSheetId="7" hidden="1">Build_Steps!$A$1:$C$8</definedName>
    <definedName name="_xlnm._FilterDatabase" localSheetId="6" hidden="1">Project_Overview!$A$1:$B$8</definedName>
    <definedName name="_xlnm._FilterDatabase" localSheetId="4" hidden="1">Raw_Data!$A$1:$O$421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4" l="1"/>
  <c r="B6" i="14"/>
  <c r="B7" i="14"/>
  <c r="B5" i="14"/>
  <c r="B4" i="14"/>
  <c r="C5" i="13"/>
  <c r="E5" i="13"/>
</calcChain>
</file>

<file path=xl/sharedStrings.xml><?xml version="1.0" encoding="utf-8"?>
<sst xmlns="http://schemas.openxmlformats.org/spreadsheetml/2006/main" count="3050" uniqueCount="529">
  <si>
    <t>Order_ID</t>
  </si>
  <si>
    <t>Order_Date</t>
  </si>
  <si>
    <t>Region</t>
  </si>
  <si>
    <t>Sales_Channel</t>
  </si>
  <si>
    <t>Product_Category</t>
  </si>
  <si>
    <t>Product</t>
  </si>
  <si>
    <t>Units_Sold</t>
  </si>
  <si>
    <t>Unit_Price_AED</t>
  </si>
  <si>
    <t>Discount_Pct</t>
  </si>
  <si>
    <t>Sales_AED</t>
  </si>
  <si>
    <t>Cost_AED</t>
  </si>
  <si>
    <t>Order_Status</t>
  </si>
  <si>
    <t>Delivery_Days</t>
  </si>
  <si>
    <t>Customer_Rating</t>
  </si>
  <si>
    <t>Returned</t>
  </si>
  <si>
    <t>ORD-10381</t>
  </si>
  <si>
    <t>Abu Dhabi</t>
  </si>
  <si>
    <t>Online</t>
  </si>
  <si>
    <t>Beauty</t>
  </si>
  <si>
    <t>Hair Dryer</t>
  </si>
  <si>
    <t>Cancelled</t>
  </si>
  <si>
    <t>No</t>
  </si>
  <si>
    <t>ORD-10104</t>
  </si>
  <si>
    <t>Al Ain</t>
  </si>
  <si>
    <t>Retail Store</t>
  </si>
  <si>
    <t>Fashion</t>
  </si>
  <si>
    <t>Running Shoes</t>
  </si>
  <si>
    <t>Yes</t>
  </si>
  <si>
    <t>ORD-10303</t>
  </si>
  <si>
    <t>Dubai</t>
  </si>
  <si>
    <t>Marketplace</t>
  </si>
  <si>
    <t>Grocery</t>
  </si>
  <si>
    <t>Snack Bundle</t>
  </si>
  <si>
    <t>Processing</t>
  </si>
  <si>
    <t>ORD-10410</t>
  </si>
  <si>
    <t>Home &amp; Living</t>
  </si>
  <si>
    <t>Water Bottle</t>
  </si>
  <si>
    <t>ORD-10415</t>
  </si>
  <si>
    <t>Sharjah</t>
  </si>
  <si>
    <t>Desk Lamp</t>
  </si>
  <si>
    <t>Delivered</t>
  </si>
  <si>
    <t>ORD-10233</t>
  </si>
  <si>
    <t>ORD-10300</t>
  </si>
  <si>
    <t>ORD-10369</t>
  </si>
  <si>
    <t>ORD-10170</t>
  </si>
  <si>
    <t>ORD-10272</t>
  </si>
  <si>
    <t>Electronics</t>
  </si>
  <si>
    <t>Wireless Headphones</t>
  </si>
  <si>
    <t>ORD-10385</t>
  </si>
  <si>
    <t>Smart Watch</t>
  </si>
  <si>
    <t>ORD-10138</t>
  </si>
  <si>
    <t>ORD-10147</t>
  </si>
  <si>
    <t>ORD-10117</t>
  </si>
  <si>
    <t>ORD-10328</t>
  </si>
  <si>
    <t>ORD-10056</t>
  </si>
  <si>
    <t>Storage Box Set</t>
  </si>
  <si>
    <t>ORD-10250</t>
  </si>
  <si>
    <t>Face Cleanser</t>
  </si>
  <si>
    <t>ORD-10397</t>
  </si>
  <si>
    <t>Olive Oil</t>
  </si>
  <si>
    <t>ORD-10352</t>
  </si>
  <si>
    <t>ORD-10150</t>
  </si>
  <si>
    <t>ORD-10279</t>
  </si>
  <si>
    <t>Cotton T-Shirt</t>
  </si>
  <si>
    <t>ORD-10036</t>
  </si>
  <si>
    <t>ORD-10045</t>
  </si>
  <si>
    <t>ORD-10387</t>
  </si>
  <si>
    <t>ORD-10069</t>
  </si>
  <si>
    <t>USB-C Hub</t>
  </si>
  <si>
    <t>ORD-10217</t>
  </si>
  <si>
    <t>ORD-10127</t>
  </si>
  <si>
    <t>Ajman</t>
  </si>
  <si>
    <t>ORD-10246</t>
  </si>
  <si>
    <t>ORD-10280</t>
  </si>
  <si>
    <t>ORD-10196</t>
  </si>
  <si>
    <t>ORD-10007</t>
  </si>
  <si>
    <t>ORD-10172</t>
  </si>
  <si>
    <t>ORD-10001</t>
  </si>
  <si>
    <t>ORD-10359</t>
  </si>
  <si>
    <t>ORD-10033</t>
  </si>
  <si>
    <t>Skincare Set</t>
  </si>
  <si>
    <t>ORD-10133</t>
  </si>
  <si>
    <t>ORD-10243</t>
  </si>
  <si>
    <t>ORD-10376</t>
  </si>
  <si>
    <t>ORD-10010</t>
  </si>
  <si>
    <t>ORD-10218</t>
  </si>
  <si>
    <t>ORD-10087</t>
  </si>
  <si>
    <t>ORD-10258</t>
  </si>
  <si>
    <t>ORD-10171</t>
  </si>
  <si>
    <t>Backpack</t>
  </si>
  <si>
    <t>ORD-10310</t>
  </si>
  <si>
    <t>Coffee Beans</t>
  </si>
  <si>
    <t>ORD-10322</t>
  </si>
  <si>
    <t>ORD-10120</t>
  </si>
  <si>
    <t>ORD-10365</t>
  </si>
  <si>
    <t>ORD-10313</t>
  </si>
  <si>
    <t>ORD-10198</t>
  </si>
  <si>
    <t>ORD-10418</t>
  </si>
  <si>
    <t>ORD-10386</t>
  </si>
  <si>
    <t>ORD-10018</t>
  </si>
  <si>
    <t>ORD-10221</t>
  </si>
  <si>
    <t>ORD-10157</t>
  </si>
  <si>
    <t>ORD-10074</t>
  </si>
  <si>
    <t>ORD-10414</t>
  </si>
  <si>
    <t>ORD-10241</t>
  </si>
  <si>
    <t>ORD-10329</t>
  </si>
  <si>
    <t>ORD-10100</t>
  </si>
  <si>
    <t>ORD-10306</t>
  </si>
  <si>
    <t>ORD-10118</t>
  </si>
  <si>
    <t>ORD-10408</t>
  </si>
  <si>
    <t>ORD-10256</t>
  </si>
  <si>
    <t>ORD-10390</t>
  </si>
  <si>
    <t>ORD-10273</t>
  </si>
  <si>
    <t>ORD-10357</t>
  </si>
  <si>
    <t>ORD-10182</t>
  </si>
  <si>
    <t>ORD-10058</t>
  </si>
  <si>
    <t>ORD-10083</t>
  </si>
  <si>
    <t>ORD-10178</t>
  </si>
  <si>
    <t>ORD-10287</t>
  </si>
  <si>
    <t>ORD-10168</t>
  </si>
  <si>
    <t>ORD-10041</t>
  </si>
  <si>
    <t>ORD-10187</t>
  </si>
  <si>
    <t>ORD-10350</t>
  </si>
  <si>
    <t>ORD-10262</t>
  </si>
  <si>
    <t>ORD-10259</t>
  </si>
  <si>
    <t>ORD-10411</t>
  </si>
  <si>
    <t>ORD-10230</t>
  </si>
  <si>
    <t>ORD-10349</t>
  </si>
  <si>
    <t>ORD-10251</t>
  </si>
  <si>
    <t>ORD-10392</t>
  </si>
  <si>
    <t>ORD-10023</t>
  </si>
  <si>
    <t>ORD-10253</t>
  </si>
  <si>
    <t>ORD-10072</t>
  </si>
  <si>
    <t>ORD-10052</t>
  </si>
  <si>
    <t>ORD-10398</t>
  </si>
  <si>
    <t>ORD-10102</t>
  </si>
  <si>
    <t>ORD-10224</t>
  </si>
  <si>
    <t>ORD-10339</t>
  </si>
  <si>
    <t>ORD-10009</t>
  </si>
  <si>
    <t>ORD-10142</t>
  </si>
  <si>
    <t>ORD-10363</t>
  </si>
  <si>
    <t>ORD-10032</t>
  </si>
  <si>
    <t>ORD-10078</t>
  </si>
  <si>
    <t>ORD-10412</t>
  </si>
  <si>
    <t>ORD-10326</t>
  </si>
  <si>
    <t>ORD-10148</t>
  </si>
  <si>
    <t>ORD-10327</t>
  </si>
  <si>
    <t>ORD-10097</t>
  </si>
  <si>
    <t>ORD-10189</t>
  </si>
  <si>
    <t>ORD-10384</t>
  </si>
  <si>
    <t>ORD-10119</t>
  </si>
  <si>
    <t>ORD-10315</t>
  </si>
  <si>
    <t>ORD-10346</t>
  </si>
  <si>
    <t>ORD-10211</t>
  </si>
  <si>
    <t>ORD-10380</t>
  </si>
  <si>
    <t>ORD-10209</t>
  </si>
  <si>
    <t>ORD-10206</t>
  </si>
  <si>
    <t>ORD-10292</t>
  </si>
  <si>
    <t>ORD-10216</t>
  </si>
  <si>
    <t>ORD-10143</t>
  </si>
  <si>
    <t>ORD-10281</t>
  </si>
  <si>
    <t>ORD-10111</t>
  </si>
  <si>
    <t>ORD-10413</t>
  </si>
  <si>
    <t>ORD-10039</t>
  </si>
  <si>
    <t>ORD-10152</t>
  </si>
  <si>
    <t>ORD-10314</t>
  </si>
  <si>
    <t>ORD-10399</t>
  </si>
  <si>
    <t>ORD-10299</t>
  </si>
  <si>
    <t>ORD-10096</t>
  </si>
  <si>
    <t>ORD-10342</t>
  </si>
  <si>
    <t>ORD-10154</t>
  </si>
  <si>
    <t>ORD-10271</t>
  </si>
  <si>
    <t>ORD-10419</t>
  </si>
  <si>
    <t>ORD-10353</t>
  </si>
  <si>
    <t>ORD-10263</t>
  </si>
  <si>
    <t>ORD-10136</t>
  </si>
  <si>
    <t>ORD-10190</t>
  </si>
  <si>
    <t>ORD-10307</t>
  </si>
  <si>
    <t>ORD-10226</t>
  </si>
  <si>
    <t>ORD-10239</t>
  </si>
  <si>
    <t>ORD-10333</t>
  </si>
  <si>
    <t>ORD-10400</t>
  </si>
  <si>
    <t>ORD-10088</t>
  </si>
  <si>
    <t>ORD-10309</t>
  </si>
  <si>
    <t>ORD-10368</t>
  </si>
  <si>
    <t>ORD-10338</t>
  </si>
  <si>
    <t>ORD-10403</t>
  </si>
  <si>
    <t>ORD-10321</t>
  </si>
  <si>
    <t>ORD-10167</t>
  </si>
  <si>
    <t>ORD-10066</t>
  </si>
  <si>
    <t>ORD-10077</t>
  </si>
  <si>
    <t>ORD-10254</t>
  </si>
  <si>
    <t>ORD-10294</t>
  </si>
  <si>
    <t>ORD-10169</t>
  </si>
  <si>
    <t>ORD-10371</t>
  </si>
  <si>
    <t>ORD-10199</t>
  </si>
  <si>
    <t>ORD-10197</t>
  </si>
  <si>
    <t>ORD-10268</t>
  </si>
  <si>
    <t>ORD-10139</t>
  </si>
  <si>
    <t>ORD-10044</t>
  </si>
  <si>
    <t>ORD-10053</t>
  </si>
  <si>
    <t>ORD-10301</t>
  </si>
  <si>
    <t>ORD-10194</t>
  </si>
  <si>
    <t>ORD-10063</t>
  </si>
  <si>
    <t>ORD-10201</t>
  </si>
  <si>
    <t>ORD-10393</t>
  </si>
  <si>
    <t>ORD-10022</t>
  </si>
  <si>
    <t>ORD-10332</t>
  </si>
  <si>
    <t>ORD-10068</t>
  </si>
  <si>
    <t>ORD-10374</t>
  </si>
  <si>
    <t>ORD-10379</t>
  </si>
  <si>
    <t>ORD-10188</t>
  </si>
  <si>
    <t>ORD-10094</t>
  </si>
  <si>
    <t>ORD-10027</t>
  </si>
  <si>
    <t>ORD-10164</t>
  </si>
  <si>
    <t>ORD-10163</t>
  </si>
  <si>
    <t>ORD-10065</t>
  </si>
  <si>
    <t>ORD-10373</t>
  </si>
  <si>
    <t>ORD-10144</t>
  </si>
  <si>
    <t>ORD-10248</t>
  </si>
  <si>
    <t>ORD-10275</t>
  </si>
  <si>
    <t>ORD-10165</t>
  </si>
  <si>
    <t>ORD-10238</t>
  </si>
  <si>
    <t>ORD-10005</t>
  </si>
  <si>
    <t>ORD-10091</t>
  </si>
  <si>
    <t>ORD-10407</t>
  </si>
  <si>
    <t>ORD-10155</t>
  </si>
  <si>
    <t>ORD-10354</t>
  </si>
  <si>
    <t>ORD-10082</t>
  </si>
  <si>
    <t>ORD-10140</t>
  </si>
  <si>
    <t>ORD-10121</t>
  </si>
  <si>
    <t>ORD-10004</t>
  </si>
  <si>
    <t>ORD-10298</t>
  </si>
  <si>
    <t>ORD-10285</t>
  </si>
  <si>
    <t>ORD-10030</t>
  </si>
  <si>
    <t>ORD-10047</t>
  </si>
  <si>
    <t>ORD-10186</t>
  </si>
  <si>
    <t>ORD-10219</t>
  </si>
  <si>
    <t>ORD-10267</t>
  </si>
  <si>
    <t>ORD-10020</t>
  </si>
  <si>
    <t>ORD-10214</t>
  </si>
  <si>
    <t>ORD-10031</t>
  </si>
  <si>
    <t>ORD-10205</t>
  </si>
  <si>
    <t>ORD-10222</t>
  </si>
  <si>
    <t>ORD-10335</t>
  </si>
  <si>
    <t>ORD-10114</t>
  </si>
  <si>
    <t>ORD-10176</t>
  </si>
  <si>
    <t>ORD-10073</t>
  </si>
  <si>
    <t>ORD-10231</t>
  </si>
  <si>
    <t>ORD-10277</t>
  </si>
  <si>
    <t>ORD-10054</t>
  </si>
  <si>
    <t>ORD-10124</t>
  </si>
  <si>
    <t>ORD-10070</t>
  </si>
  <si>
    <t>ORD-10367</t>
  </si>
  <si>
    <t>ORD-10290</t>
  </si>
  <si>
    <t>ORD-10109</t>
  </si>
  <si>
    <t>ORD-10076</t>
  </si>
  <si>
    <t>ORD-10276</t>
  </si>
  <si>
    <t>ORD-10282</t>
  </si>
  <si>
    <t>ORD-10235</t>
  </si>
  <si>
    <t>ORD-10284</t>
  </si>
  <si>
    <t>ORD-10185</t>
  </si>
  <si>
    <t>ORD-10203</t>
  </si>
  <si>
    <t>ORD-10252</t>
  </si>
  <si>
    <t>ORD-10055</t>
  </si>
  <si>
    <t>ORD-10183</t>
  </si>
  <si>
    <t>ORD-10405</t>
  </si>
  <si>
    <t>ORD-10406</t>
  </si>
  <si>
    <t>ORD-10180</t>
  </si>
  <si>
    <t>ORD-10021</t>
  </si>
  <si>
    <t>ORD-10420</t>
  </si>
  <si>
    <t>ORD-10159</t>
  </si>
  <si>
    <t>ORD-10115</t>
  </si>
  <si>
    <t>ORD-10017</t>
  </si>
  <si>
    <t>ORD-10344</t>
  </si>
  <si>
    <t>ORD-10366</t>
  </si>
  <si>
    <t>ORD-10296</t>
  </si>
  <si>
    <t>ORD-10011</t>
  </si>
  <si>
    <t>ORD-10351</t>
  </si>
  <si>
    <t>ORD-10289</t>
  </si>
  <si>
    <t>ORD-10295</t>
  </si>
  <si>
    <t>ORD-10305</t>
  </si>
  <si>
    <t>ORD-10229</t>
  </si>
  <si>
    <t>ORD-10057</t>
  </si>
  <si>
    <t>ORD-10029</t>
  </si>
  <si>
    <t>ORD-10331</t>
  </si>
  <si>
    <t>ORD-10034</t>
  </si>
  <si>
    <t>ORD-10330</t>
  </si>
  <si>
    <t>ORD-10132</t>
  </si>
  <si>
    <t>ORD-10308</t>
  </si>
  <si>
    <t>ORD-10113</t>
  </si>
  <si>
    <t>ORD-10158</t>
  </si>
  <si>
    <t>ORD-10134</t>
  </si>
  <si>
    <t>ORD-10131</t>
  </si>
  <si>
    <t>ORD-10079</t>
  </si>
  <si>
    <t>ORD-10126</t>
  </si>
  <si>
    <t>ORD-10116</t>
  </si>
  <si>
    <t>ORD-10288</t>
  </si>
  <si>
    <t>ORD-10129</t>
  </si>
  <si>
    <t>ORD-10228</t>
  </si>
  <si>
    <t>ORD-10266</t>
  </si>
  <si>
    <t>ORD-10242</t>
  </si>
  <si>
    <t>ORD-10260</t>
  </si>
  <si>
    <t>ORD-10270</t>
  </si>
  <si>
    <t>ORD-10394</t>
  </si>
  <si>
    <t>ORD-10137</t>
  </si>
  <si>
    <t>ORD-10193</t>
  </si>
  <si>
    <t>ORD-10269</t>
  </si>
  <si>
    <t>ORD-10323</t>
  </si>
  <si>
    <t>ORD-10343</t>
  </si>
  <si>
    <t>ORD-10240</t>
  </si>
  <si>
    <t>ORD-10245</t>
  </si>
  <si>
    <t>ORD-10085</t>
  </si>
  <si>
    <t>ORD-10040</t>
  </si>
  <si>
    <t>ORD-10192</t>
  </si>
  <si>
    <t>ORD-10130</t>
  </si>
  <si>
    <t>ORD-10341</t>
  </si>
  <si>
    <t>ORD-10099</t>
  </si>
  <si>
    <t>ORD-10026</t>
  </si>
  <si>
    <t>ORD-10244</t>
  </si>
  <si>
    <t>ORD-10123</t>
  </si>
  <si>
    <t>ORD-10003</t>
  </si>
  <si>
    <t>ORD-10316</t>
  </si>
  <si>
    <t>ORD-10372</t>
  </si>
  <si>
    <t>ORD-10156</t>
  </si>
  <si>
    <t>ORD-10255</t>
  </si>
  <si>
    <t>ORD-10108</t>
  </si>
  <si>
    <t>ORD-10162</t>
  </si>
  <si>
    <t>ORD-10237</t>
  </si>
  <si>
    <t>ORD-10311</t>
  </si>
  <si>
    <t>ORD-10122</t>
  </si>
  <si>
    <t>ORD-10283</t>
  </si>
  <si>
    <t>ORD-10080</t>
  </si>
  <si>
    <t>ORD-10312</t>
  </si>
  <si>
    <t>ORD-10049</t>
  </si>
  <si>
    <t>ORD-10416</t>
  </si>
  <si>
    <t>ORD-10257</t>
  </si>
  <si>
    <t>ORD-10191</t>
  </si>
  <si>
    <t>ORD-10060</t>
  </si>
  <si>
    <t>ORD-10098</t>
  </si>
  <si>
    <t>ORD-10075</t>
  </si>
  <si>
    <t>ORD-10008</t>
  </si>
  <si>
    <t>ORD-10184</t>
  </si>
  <si>
    <t>ORD-10175</t>
  </si>
  <si>
    <t>ORD-10204</t>
  </si>
  <si>
    <t>ORD-10086</t>
  </si>
  <si>
    <t>ORD-10043</t>
  </si>
  <si>
    <t>ORD-10223</t>
  </si>
  <si>
    <t>ORD-10110</t>
  </si>
  <si>
    <t>ORD-10212</t>
  </si>
  <si>
    <t>ORD-10015</t>
  </si>
  <si>
    <t>ORD-10177</t>
  </si>
  <si>
    <t>ORD-10395</t>
  </si>
  <si>
    <t>ORD-10236</t>
  </si>
  <si>
    <t>ORD-10174</t>
  </si>
  <si>
    <t>ORD-10225</t>
  </si>
  <si>
    <t>ORD-10318</t>
  </si>
  <si>
    <t>ORD-10317</t>
  </si>
  <si>
    <t>ORD-10013</t>
  </si>
  <si>
    <t>ORD-10377</t>
  </si>
  <si>
    <t>ORD-10215</t>
  </si>
  <si>
    <t>ORD-10062</t>
  </si>
  <si>
    <t>ORD-10059</t>
  </si>
  <si>
    <t>ORD-10391</t>
  </si>
  <si>
    <t>ORD-10378</t>
  </si>
  <si>
    <t>ORD-10360</t>
  </si>
  <si>
    <t>ORD-10042</t>
  </si>
  <si>
    <t>ORD-10234</t>
  </si>
  <si>
    <t>ORD-10247</t>
  </si>
  <si>
    <t>ORD-10051</t>
  </si>
  <si>
    <t>ORD-10014</t>
  </si>
  <si>
    <t>ORD-10207</t>
  </si>
  <si>
    <t>ORD-10128</t>
  </si>
  <si>
    <t>ORD-10320</t>
  </si>
  <si>
    <t>ORD-10089</t>
  </si>
  <si>
    <t>ORD-10370</t>
  </si>
  <si>
    <t>ORD-10173</t>
  </si>
  <si>
    <t>ORD-10002</t>
  </si>
  <si>
    <t>ORD-10402</t>
  </si>
  <si>
    <t>ORD-10210</t>
  </si>
  <si>
    <t>ORD-10050</t>
  </si>
  <si>
    <t>ORD-10112</t>
  </si>
  <si>
    <t>ORD-10107</t>
  </si>
  <si>
    <t>ORD-10025</t>
  </si>
  <si>
    <t>ORD-10278</t>
  </si>
  <si>
    <t>ORD-10016</t>
  </si>
  <si>
    <t>ORD-10160</t>
  </si>
  <si>
    <t>ORD-10249</t>
  </si>
  <si>
    <t>ORD-10213</t>
  </si>
  <si>
    <t>ORD-10106</t>
  </si>
  <si>
    <t>ORD-10261</t>
  </si>
  <si>
    <t>ORD-10071</t>
  </si>
  <si>
    <t>ORD-10105</t>
  </si>
  <si>
    <t>ORD-10135</t>
  </si>
  <si>
    <t>ORD-10103</t>
  </si>
  <si>
    <t>ORD-10092</t>
  </si>
  <si>
    <t>ORD-10291</t>
  </si>
  <si>
    <t>ORD-10227</t>
  </si>
  <si>
    <t>ORD-10336</t>
  </si>
  <si>
    <t>ORD-10166</t>
  </si>
  <si>
    <t>ORD-10149</t>
  </si>
  <si>
    <t>ORD-10028</t>
  </si>
  <si>
    <t>ORD-10302</t>
  </si>
  <si>
    <t>ORD-10334</t>
  </si>
  <si>
    <t>ORD-10038</t>
  </si>
  <si>
    <t>ORD-10101</t>
  </si>
  <si>
    <t>ORD-10388</t>
  </si>
  <si>
    <t>ORD-10084</t>
  </si>
  <si>
    <t>ORD-10090</t>
  </si>
  <si>
    <t>ORD-10019</t>
  </si>
  <si>
    <t>ORD-10093</t>
  </si>
  <si>
    <t>ORD-10361</t>
  </si>
  <si>
    <t>ORD-10297</t>
  </si>
  <si>
    <t>ORD-10146</t>
  </si>
  <si>
    <t>ORD-10125</t>
  </si>
  <si>
    <t>ORD-10151</t>
  </si>
  <si>
    <t>ORD-10232</t>
  </si>
  <si>
    <t>ORD-10037</t>
  </si>
  <si>
    <t>ORD-10006</t>
  </si>
  <si>
    <t>ORD-10396</t>
  </si>
  <si>
    <t>ORD-10375</t>
  </si>
  <si>
    <t>ORD-10035</t>
  </si>
  <si>
    <t>ORD-10389</t>
  </si>
  <si>
    <t>ORD-10048</t>
  </si>
  <si>
    <t>ORD-10358</t>
  </si>
  <si>
    <t>ORD-10362</t>
  </si>
  <si>
    <t>ORD-10364</t>
  </si>
  <si>
    <t>ORD-10095</t>
  </si>
  <si>
    <t>ORD-10304</t>
  </si>
  <si>
    <t>ORD-10179</t>
  </si>
  <si>
    <t>ORD-10220</t>
  </si>
  <si>
    <t>ORD-10067</t>
  </si>
  <si>
    <t>ORD-10345</t>
  </si>
  <si>
    <t>ORD-10202</t>
  </si>
  <si>
    <t>ORD-10324</t>
  </si>
  <si>
    <t>ORD-10153</t>
  </si>
  <si>
    <t>ORD-10061</t>
  </si>
  <si>
    <t>ORD-10264</t>
  </si>
  <si>
    <t>ORD-10024</t>
  </si>
  <si>
    <t>ORD-10382</t>
  </si>
  <si>
    <t>ORD-10409</t>
  </si>
  <si>
    <t>ORD-10348</t>
  </si>
  <si>
    <t>ORD-10286</t>
  </si>
  <si>
    <t>ORD-10319</t>
  </si>
  <si>
    <t>ORD-10181</t>
  </si>
  <si>
    <t>ORD-10081</t>
  </si>
  <si>
    <t>ORD-10383</t>
  </si>
  <si>
    <t>ORD-10340</t>
  </si>
  <si>
    <t>ORD-10293</t>
  </si>
  <si>
    <t>ORD-10274</t>
  </si>
  <si>
    <t>ORD-10195</t>
  </si>
  <si>
    <t>ORD-10337</t>
  </si>
  <si>
    <t>ORD-10200</t>
  </si>
  <si>
    <t>ORD-10417</t>
  </si>
  <si>
    <t>ORD-10064</t>
  </si>
  <si>
    <t>ORD-10208</t>
  </si>
  <si>
    <t>ORD-10355</t>
  </si>
  <si>
    <t>ORD-10404</t>
  </si>
  <si>
    <t>ORD-10046</t>
  </si>
  <si>
    <t>ORD-10325</t>
  </si>
  <si>
    <t>ORD-10012</t>
  </si>
  <si>
    <t>ORD-10141</t>
  </si>
  <si>
    <t>ORD-10265</t>
  </si>
  <si>
    <t>ORD-10347</t>
  </si>
  <si>
    <t>ORD-10356</t>
  </si>
  <si>
    <t>ORD-10145</t>
  </si>
  <si>
    <t>ORD-10161</t>
  </si>
  <si>
    <t>ORD-10401</t>
  </si>
  <si>
    <t>Project Field</t>
  </si>
  <si>
    <t>Details</t>
  </si>
  <si>
    <t>Project title</t>
  </si>
  <si>
    <t>UAE Retail Operations &amp; Performance Analytics</t>
  </si>
  <si>
    <t>Scenario</t>
  </si>
  <si>
    <t>A fictional UAE retailer wants to understand sales, order status, delivery performance, returns, and customer satisfaction.</t>
  </si>
  <si>
    <t>Dataset</t>
  </si>
  <si>
    <t>Synthetic practice data; no real customer or company information.</t>
  </si>
  <si>
    <t>Rows</t>
  </si>
  <si>
    <t>420 order records</t>
  </si>
  <si>
    <t>Main question</t>
  </si>
  <si>
    <t>Which regions, channels, and categories perform best, and where should operations improve?</t>
  </si>
  <si>
    <t>Primary tool</t>
  </si>
  <si>
    <t>Microsoft Excel: Tables, formulas, PivotTables, PivotCharts, slicers</t>
  </si>
  <si>
    <t>Integrity note</t>
  </si>
  <si>
    <t>Do not claim this data came from a real company or invent business impact.</t>
  </si>
  <si>
    <t>Step</t>
  </si>
  <si>
    <t>Task</t>
  </si>
  <si>
    <t>Status</t>
  </si>
  <si>
    <t>Keep the original Raw_Data unchanged; work on a copy.</t>
  </si>
  <si>
    <t>Open the CSV in Excel and convert the range to a Table (Ctrl+T).</t>
  </si>
  <si>
    <t>Check missing sales, invalid ratings, zero units, and inconsistent text on a Data_Quality sheet.</t>
  </si>
  <si>
    <t>Create Clean_Data; standardize region/category text and resolve invalid values with documented rules.</t>
  </si>
  <si>
    <t>Add Gross_Sales_AED, Profit_AED, Profit_Margin_Pct, and Delivery_SLA columns. State your assumptions.</t>
  </si>
  <si>
    <t>Create PivotTables for monthly sales/profit, region/category/channel, order status, returns, delivery time, and ratings.</t>
  </si>
  <si>
    <t>Build a one-page dashboard with KPI cards, monthly trend, comparisons, status breakdown, slicers, and 3 evidence-based recommendations.</t>
  </si>
  <si>
    <t>Grand Total</t>
  </si>
  <si>
    <t>Sum of Sales_AED</t>
  </si>
  <si>
    <t>Regional Sales</t>
  </si>
  <si>
    <t xml:space="preserve"> Product_Category</t>
  </si>
  <si>
    <t>Category_Sales</t>
  </si>
  <si>
    <t>Channel_Sales</t>
  </si>
  <si>
    <t>UAE Retail Operations Analytics</t>
  </si>
  <si>
    <t>Sales Performance Dashboard -April2025</t>
  </si>
  <si>
    <t>TOTAL SALES (AED)</t>
  </si>
  <si>
    <t>TOTAL ORDERS</t>
  </si>
  <si>
    <t>TOTAL UNITS SOLD</t>
  </si>
  <si>
    <t>AED134,196.7</t>
  </si>
  <si>
    <t>Done</t>
  </si>
  <si>
    <t>Data Quality Checks</t>
  </si>
  <si>
    <t>Check</t>
  </si>
  <si>
    <t>Result</t>
  </si>
  <si>
    <t>Total records</t>
  </si>
  <si>
    <t>Missing sales</t>
  </si>
  <si>
    <t>Zero or negative units</t>
  </si>
  <si>
    <t>Inconsistent region names</t>
  </si>
  <si>
    <t>Invalid ratings</t>
  </si>
  <si>
    <t>Cancelled orders with sales</t>
  </si>
  <si>
    <t>Review</t>
  </si>
  <si>
    <t>Finding</t>
  </si>
  <si>
    <t>Order ORD-10235 is Cancelled, has 0 units, but records AED 175.13 in sales. Verify whether cancelled orders should be excluded from reported sales.</t>
  </si>
  <si>
    <t>Invalid rating finding</t>
  </si>
  <si>
    <t>Order ORD-10263 has a customer rating of 6; the permitted scale is 1–5.</t>
  </si>
  <si>
    <t>Missing customer ratings</t>
  </si>
  <si>
    <t>112 of 420 records have blank customer ratings. Investigate missing values before using customer ratings for satisfaction analysis.</t>
  </si>
  <si>
    <t>Pass</t>
  </si>
  <si>
    <t>Documented</t>
  </si>
  <si>
    <t>Business Insights</t>
  </si>
  <si>
    <t>Dubai recorded sales of 45,180.52. Comparing Regional Sales can help identify growth opportunities.</t>
  </si>
  <si>
    <t>Electronics recorded sales of 49,696.37. Reviewing sales across categories can help identify the products driving business performance.</t>
  </si>
  <si>
    <t>The Online channel recorded sales of 72,649.57. Monitoring channel performance can help guide sales and marketing decisions.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</si>
</sst>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12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3"/>
      <name val="Calibri"/>
      <family val="2"/>
      <scheme val="minor"/>
    </font>
    <font>
      <sz val="12"/>
      <color theme="3"/>
      <name val="Calibri"/>
      <family val="2"/>
      <scheme val="minor"/>
    </font>
    <font>
      <b/>
      <sz val="11"/>
      <color theme="3"/>
      <name val="Calibri"/>
      <family val="2"/>
    </font>
    <font>
      <sz val="11"/>
      <color theme="3"/>
      <name val="Calibri"/>
      <family val="2"/>
      <scheme val="minor"/>
    </font>
    <font>
      <sz val="10"/>
      <color theme="1"/>
      <name val="Arial Unicode MS"/>
    </font>
    <font>
      <b/>
      <sz val="16"/>
      <color theme="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64" fontId="0" fillId="0" borderId="1" xfId="0" applyNumberFormat="1" applyBorder="1"/>
    <xf numFmtId="0" fontId="0" fillId="0" borderId="1" xfId="0" applyBorder="1"/>
    <xf numFmtId="0" fontId="1" fillId="0" borderId="3" xfId="0" applyFont="1" applyBorder="1" applyAlignment="1">
      <alignment horizontal="center" vertical="top" wrapText="1"/>
    </xf>
    <xf numFmtId="0" fontId="0" fillId="0" borderId="4" xfId="0" applyBorder="1"/>
    <xf numFmtId="0" fontId="0" fillId="0" borderId="5" xfId="0" applyBorder="1"/>
    <xf numFmtId="164" fontId="0" fillId="0" borderId="6" xfId="0" applyNumberFormat="1" applyBorder="1"/>
    <xf numFmtId="0" fontId="0" fillId="0" borderId="6" xfId="0" applyBorder="1"/>
    <xf numFmtId="0" fontId="6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0" fillId="0" borderId="2" xfId="0" applyBorder="1"/>
    <xf numFmtId="0" fontId="9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wrapText="1"/>
    </xf>
    <xf numFmtId="0" fontId="13" fillId="0" borderId="0" xfId="0" applyFont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2" fillId="0" borderId="8" xfId="0" applyFont="1" applyBorder="1" applyAlignment="1">
      <alignment horizontal="center" wrapText="1"/>
    </xf>
    <xf numFmtId="0" fontId="11" fillId="0" borderId="3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0" fontId="12" fillId="0" borderId="6" xfId="0" applyFont="1" applyBorder="1" applyAlignment="1">
      <alignment wrapText="1"/>
    </xf>
    <xf numFmtId="0" fontId="12" fillId="0" borderId="10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5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8" xfId="0" applyBorder="1" applyAlignment="1">
      <alignment wrapText="1"/>
    </xf>
    <xf numFmtId="0" fontId="1" fillId="0" borderId="9" xfId="0" applyFont="1" applyBorder="1" applyAlignment="1">
      <alignment horizontal="center" vertical="top" wrapText="1"/>
    </xf>
    <xf numFmtId="0" fontId="0" fillId="0" borderId="5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4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2" borderId="3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9" xfId="0" applyFont="1" applyFill="1" applyBorder="1" applyAlignment="1">
      <alignment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5" fillId="2" borderId="13" xfId="0" applyFont="1" applyFill="1" applyBorder="1" applyAlignment="1">
      <alignment wrapText="1"/>
    </xf>
    <xf numFmtId="0" fontId="8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64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[UAE_Retail_Analytics_Project_Starter.xlsx]Regional Sales!PivotTable6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2">
                    <a:lumMod val="50000"/>
                  </a:schemeClr>
                </a:solidFill>
              </a:rPr>
              <a:t>Sales by Region(AED)</a:t>
            </a:r>
          </a:p>
        </c:rich>
      </c:tx>
      <c:layout>
        <c:manualLayout>
          <c:xMode val="edge"/>
          <c:yMode val="edge"/>
          <c:x val="0.35162207938579498"/>
          <c:y val="2.361471202757405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0.10914112539743048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0.10914112539743048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2"/>
          </a:solidFill>
          <a:ln w="9525" cap="flat" cmpd="sng" algn="ctr">
            <a:solidFill>
              <a:schemeClr val="tx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/>
          </a:solidFill>
          <a:ln w="9525" cap="flat" cmpd="sng" algn="ctr">
            <a:solidFill>
              <a:schemeClr val="tx2">
                <a:lumMod val="50000"/>
              </a:schemeClr>
            </a:solidFill>
            <a:round/>
          </a:ln>
          <a:effectLst/>
        </c:spPr>
        <c:dLbl>
          <c:idx val="0"/>
          <c:layout>
            <c:manualLayout>
              <c:x val="-9.5356568220280505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01180469103578"/>
          <c:y val="0.1229396783564656"/>
          <c:w val="0.77488190642472787"/>
          <c:h val="0.6632486282083623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'Regional Sales'!$B$5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 w="9525" cap="flat" cmpd="sng" algn="ctr">
              <a:solidFill>
                <a:schemeClr val="tx2">
                  <a:lumMod val="50000"/>
                </a:schemeClr>
              </a:solidFill>
              <a:round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tx2"/>
              </a:solidFill>
              <a:ln w="9525" cap="flat" cmpd="sng" algn="ctr">
                <a:solidFill>
                  <a:schemeClr val="tx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28DA-410E-BFF4-4F4C4C2D4A84}"/>
              </c:ext>
            </c:extLst>
          </c:dPt>
          <c:dLbls>
            <c:dLbl>
              <c:idx val="4"/>
              <c:layout>
                <c:manualLayout>
                  <c:x val="-9.5356568220280505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DA-410E-BFF4-4F4C4C2D4A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'Regional Sales'!$A$6:$A$11</c:f>
              <c:strCache>
                <c:ptCount val="5"/>
                <c:pt idx="0">
                  <c:v>Dubai</c:v>
                </c:pt>
                <c:pt idx="1">
                  <c:v>Abu Dhabi</c:v>
                </c:pt>
                <c:pt idx="2">
                  <c:v>Sharjah</c:v>
                </c:pt>
                <c:pt idx="3">
                  <c:v>Al Ain</c:v>
                </c:pt>
                <c:pt idx="4">
                  <c:v>Ajman</c:v>
                </c:pt>
              </c:strCache>
            </c:strRef>
          </c:cat>
          <c:val>
            <c:numRef>
              <c:f>'Regional Sales'!$B$6:$B$11</c:f>
              <c:numCache>
                <c:formatCode>General</c:formatCode>
                <c:ptCount val="5"/>
                <c:pt idx="0">
                  <c:v>45180.520000000019</c:v>
                </c:pt>
                <c:pt idx="1">
                  <c:v>38374.619999999995</c:v>
                </c:pt>
                <c:pt idx="2">
                  <c:v>22520.79</c:v>
                </c:pt>
                <c:pt idx="3">
                  <c:v>21899.24</c:v>
                </c:pt>
                <c:pt idx="4">
                  <c:v>6221.5300000000007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DA-410E-BFF4-4F4C4C2D4A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59761168"/>
        <c:axId val="1759761648"/>
      </c:barChart>
      <c:catAx>
        <c:axId val="17597611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2">
                        <a:lumMod val="50000"/>
                      </a:schemeClr>
                    </a:solidFill>
                  </a:rPr>
                  <a:t>REGION</a:t>
                </a:r>
                <a:r>
                  <a:rPr lang="en-IN"/>
                  <a:t> </a:t>
                </a:r>
              </a:p>
            </c:rich>
          </c:tx>
          <c:layout>
            <c:manualLayout>
              <c:xMode val="edge"/>
              <c:yMode val="edge"/>
              <c:x val="4.6429082354658632E-2"/>
              <c:y val="0.39236866718193431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761648"/>
        <c:crosses val="autoZero"/>
        <c:auto val="1"/>
        <c:lblAlgn val="ctr"/>
        <c:lblOffset val="100"/>
        <c:noMultiLvlLbl val="0"/>
      </c:catAx>
      <c:valAx>
        <c:axId val="1759761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2">
                        <a:lumMod val="50000"/>
                      </a:schemeClr>
                    </a:solidFill>
                  </a:rPr>
                  <a:t>SUM OF SALES</a:t>
                </a:r>
              </a:p>
            </c:rich>
          </c:tx>
          <c:layout>
            <c:manualLayout>
              <c:xMode val="edge"/>
              <c:yMode val="edge"/>
              <c:x val="0.50824986930341531"/>
              <c:y val="0.89717063519856499"/>
            </c:manualLayout>
          </c:layout>
          <c:overlay val="0"/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76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[UAE_Retail_Analytics_Project_Starter.xlsx]Category_Sales!PivotTable8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50000"/>
                  </a:schemeClr>
                </a:solidFill>
              </a:rPr>
              <a:t>Sales by Product Category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tx>
            <c:rich>
              <a:bodyPr/>
              <a:lstStyle/>
              <a:p>
                <a:fld id="{D2AFD1C2-3B26-4930-A768-B34EB41B47D8}" type="VALUE">
                  <a:rPr lang="en-US" b="1">
                    <a:solidFill>
                      <a:sysClr val="windowText" lastClr="000000"/>
                    </a:solidFill>
                  </a:rPr>
                  <a:pPr/>
                  <a:t>[VALUE]</a:t>
                </a:fld>
                <a:endParaRPr lang="en-IN"/>
              </a:p>
            </c:rich>
          </c:tx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dLbl>
          <c:idx val="0"/>
          <c:tx>
            <c:rich>
              <a:bodyPr/>
              <a:lstStyle/>
              <a:p>
                <a:fld id="{5066BB81-E002-4B9E-B7B7-D15C1A8D1016}" type="VALUE">
                  <a:rPr lang="en-US" b="1">
                    <a:solidFill>
                      <a:sysClr val="windowText" lastClr="000000"/>
                    </a:solidFill>
                  </a:rPr>
                  <a:pPr/>
                  <a:t>[VALUE]</a:t>
                </a:fld>
                <a:endParaRPr lang="en-IN"/>
              </a:p>
            </c:rich>
          </c:tx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dLbl>
          <c:idx val="0"/>
          <c:tx>
            <c:rich>
              <a:bodyPr/>
              <a:lstStyle/>
              <a:p>
                <a:fld id="{B1E235DF-FBE3-498C-9CAF-8D9D94C36CA7}" type="VALUE">
                  <a:rPr lang="en-US" b="1">
                    <a:solidFill>
                      <a:sysClr val="windowText" lastClr="000000"/>
                    </a:solidFill>
                  </a:rPr>
                  <a:pPr/>
                  <a:t>[VALUE]</a:t>
                </a:fld>
                <a:endParaRPr lang="en-IN"/>
              </a:p>
            </c:rich>
          </c:tx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dLbl>
          <c:idx val="0"/>
          <c:tx>
            <c:rich>
              <a:bodyPr/>
              <a:lstStyle/>
              <a:p>
                <a:fld id="{61974159-2AE9-48B0-A43B-C721336DE5DE}" type="VALUE">
                  <a:rPr lang="en-US" b="1">
                    <a:solidFill>
                      <a:sysClr val="windowText" lastClr="000000"/>
                    </a:solidFill>
                  </a:rPr>
                  <a:pPr/>
                  <a:t>[VALUE]</a:t>
                </a:fld>
                <a:endParaRPr lang="en-IN"/>
              </a:p>
            </c:rich>
          </c:tx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dLbl>
          <c:idx val="0"/>
          <c:tx>
            <c:rich>
              <a:bodyPr/>
              <a:lstStyle/>
              <a:p>
                <a:fld id="{4C497E19-FC07-40B8-B0BF-0C86F0956AB9}" type="VALUE">
                  <a:rPr lang="en-US" b="1">
                    <a:solidFill>
                      <a:sysClr val="windowText" lastClr="000000"/>
                    </a:solidFill>
                  </a:rPr>
                  <a:pPr/>
                  <a:t>[VALUE]</a:t>
                </a:fld>
                <a:endParaRPr lang="en-IN"/>
              </a:p>
            </c:rich>
          </c:tx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tx>
            <c:rich>
              <a:bodyPr/>
              <a:lstStyle/>
              <a:p>
                <a:fld id="{4C497E19-FC07-40B8-B0BF-0C86F0956AB9}" type="VALUE">
                  <a:rPr lang="en-US" b="1">
                    <a:solidFill>
                      <a:sysClr val="windowText" lastClr="000000"/>
                    </a:solidFill>
                  </a:rPr>
                  <a:pPr/>
                  <a:t>[VALUE]</a:t>
                </a:fld>
                <a:endParaRPr lang="en-IN"/>
              </a:p>
            </c:rich>
          </c:tx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dLbl>
          <c:idx val="0"/>
          <c:tx>
            <c:rich>
              <a:bodyPr/>
              <a:lstStyle/>
              <a:p>
                <a:fld id="{61974159-2AE9-48B0-A43B-C721336DE5DE}" type="VALUE">
                  <a:rPr lang="en-US" b="1">
                    <a:solidFill>
                      <a:sysClr val="windowText" lastClr="000000"/>
                    </a:solidFill>
                  </a:rPr>
                  <a:pPr/>
                  <a:t>[VALUE]</a:t>
                </a:fld>
                <a:endParaRPr lang="en-IN"/>
              </a:p>
            </c:rich>
          </c:tx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dLbl>
          <c:idx val="0"/>
          <c:tx>
            <c:rich>
              <a:bodyPr/>
              <a:lstStyle/>
              <a:p>
                <a:fld id="{B1E235DF-FBE3-498C-9CAF-8D9D94C36CA7}" type="VALUE">
                  <a:rPr lang="en-US" b="1">
                    <a:solidFill>
                      <a:sysClr val="windowText" lastClr="000000"/>
                    </a:solidFill>
                  </a:rPr>
                  <a:pPr/>
                  <a:t>[VALUE]</a:t>
                </a:fld>
                <a:endParaRPr lang="en-IN"/>
              </a:p>
            </c:rich>
          </c:tx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dLbl>
          <c:idx val="0"/>
          <c:tx>
            <c:rich>
              <a:bodyPr/>
              <a:lstStyle/>
              <a:p>
                <a:fld id="{5066BB81-E002-4B9E-B7B7-D15C1A8D1016}" type="VALUE">
                  <a:rPr lang="en-US" b="1">
                    <a:solidFill>
                      <a:sysClr val="windowText" lastClr="000000"/>
                    </a:solidFill>
                  </a:rPr>
                  <a:pPr/>
                  <a:t>[VALUE]</a:t>
                </a:fld>
                <a:endParaRPr lang="en-IN"/>
              </a:p>
            </c:rich>
          </c:tx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dLbl>
          <c:idx val="0"/>
          <c:tx>
            <c:rich>
              <a:bodyPr/>
              <a:lstStyle/>
              <a:p>
                <a:fld id="{D2AFD1C2-3B26-4930-A768-B34EB41B47D8}" type="VALUE">
                  <a:rPr lang="en-US" b="1">
                    <a:solidFill>
                      <a:sysClr val="windowText" lastClr="000000"/>
                    </a:solidFill>
                  </a:rPr>
                  <a:pPr/>
                  <a:t>[VALUE]</a:t>
                </a:fld>
                <a:endParaRPr lang="en-IN"/>
              </a:p>
            </c:rich>
          </c:tx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tx>
            <c:rich>
              <a:bodyPr/>
              <a:lstStyle/>
              <a:p>
                <a:fld id="{4C497E19-FC07-40B8-B0BF-0C86F0956AB9}" type="VALUE">
                  <a:rPr lang="en-US" b="1">
                    <a:solidFill>
                      <a:sysClr val="windowText" lastClr="000000"/>
                    </a:solidFill>
                  </a:rPr>
                  <a:pPr/>
                  <a:t>[VALUE]</a:t>
                </a:fld>
                <a:endParaRPr lang="en-IN"/>
              </a:p>
            </c:rich>
          </c:tx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4"/>
        <c:dLbl>
          <c:idx val="0"/>
          <c:tx>
            <c:rich>
              <a:bodyPr/>
              <a:lstStyle/>
              <a:p>
                <a:fld id="{61974159-2AE9-48B0-A43B-C721336DE5DE}" type="VALUE">
                  <a:rPr lang="en-US" b="1">
                    <a:solidFill>
                      <a:sysClr val="windowText" lastClr="000000"/>
                    </a:solidFill>
                  </a:rPr>
                  <a:pPr/>
                  <a:t>[VALUE]</a:t>
                </a:fld>
                <a:endParaRPr lang="en-IN"/>
              </a:p>
            </c:rich>
          </c:tx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5"/>
        <c:dLbl>
          <c:idx val="0"/>
          <c:tx>
            <c:rich>
              <a:bodyPr/>
              <a:lstStyle/>
              <a:p>
                <a:fld id="{B1E235DF-FBE3-498C-9CAF-8D9D94C36CA7}" type="VALUE">
                  <a:rPr lang="en-US" b="1">
                    <a:solidFill>
                      <a:sysClr val="windowText" lastClr="000000"/>
                    </a:solidFill>
                  </a:rPr>
                  <a:pPr/>
                  <a:t>[VALUE]</a:t>
                </a:fld>
                <a:endParaRPr lang="en-IN"/>
              </a:p>
            </c:rich>
          </c:tx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6"/>
        <c:dLbl>
          <c:idx val="0"/>
          <c:tx>
            <c:rich>
              <a:bodyPr/>
              <a:lstStyle/>
              <a:p>
                <a:fld id="{5066BB81-E002-4B9E-B7B7-D15C1A8D1016}" type="VALUE">
                  <a:rPr lang="en-US" b="1">
                    <a:solidFill>
                      <a:sysClr val="windowText" lastClr="000000"/>
                    </a:solidFill>
                  </a:rPr>
                  <a:pPr/>
                  <a:t>[VALUE]</a:t>
                </a:fld>
                <a:endParaRPr lang="en-IN"/>
              </a:p>
            </c:rich>
          </c:tx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7"/>
        <c:dLbl>
          <c:idx val="0"/>
          <c:tx>
            <c:rich>
              <a:bodyPr/>
              <a:lstStyle/>
              <a:p>
                <a:fld id="{D2AFD1C2-3B26-4930-A768-B34EB41B47D8}" type="VALUE">
                  <a:rPr lang="en-US" b="1">
                    <a:solidFill>
                      <a:sysClr val="windowText" lastClr="000000"/>
                    </a:solidFill>
                  </a:rPr>
                  <a:pPr/>
                  <a:t>[VALUE]</a:t>
                </a:fld>
                <a:endParaRPr lang="en-IN"/>
              </a:p>
            </c:rich>
          </c:tx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tx>
            <c:rich>
              <a:bodyPr/>
              <a:lstStyle/>
              <a:p>
                <a:fld id="{4C497E19-FC07-40B8-B0BF-0C86F0956AB9}" type="VALUE">
                  <a:rPr lang="en-US" b="1">
                    <a:solidFill>
                      <a:sysClr val="windowText" lastClr="000000"/>
                    </a:solidFill>
                  </a:rPr>
                  <a:pPr/>
                  <a:t>[VALUE]</a:t>
                </a:fld>
                <a:endParaRPr lang="en-IN"/>
              </a:p>
            </c:rich>
          </c:tx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0"/>
        <c:dLbl>
          <c:idx val="0"/>
          <c:tx>
            <c:rich>
              <a:bodyPr/>
              <a:lstStyle/>
              <a:p>
                <a:fld id="{61974159-2AE9-48B0-A43B-C721336DE5DE}" type="VALUE">
                  <a:rPr lang="en-US" b="1">
                    <a:solidFill>
                      <a:sysClr val="windowText" lastClr="000000"/>
                    </a:solidFill>
                  </a:rPr>
                  <a:pPr/>
                  <a:t>[VALUE]</a:t>
                </a:fld>
                <a:endParaRPr lang="en-IN"/>
              </a:p>
            </c:rich>
          </c:tx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1"/>
        <c:dLbl>
          <c:idx val="0"/>
          <c:tx>
            <c:rich>
              <a:bodyPr/>
              <a:lstStyle/>
              <a:p>
                <a:fld id="{B1E235DF-FBE3-498C-9CAF-8D9D94C36CA7}" type="VALUE">
                  <a:rPr lang="en-US" b="1">
                    <a:solidFill>
                      <a:sysClr val="windowText" lastClr="000000"/>
                    </a:solidFill>
                  </a:rPr>
                  <a:pPr/>
                  <a:t>[VALUE]</a:t>
                </a:fld>
                <a:endParaRPr lang="en-IN"/>
              </a:p>
            </c:rich>
          </c:tx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2"/>
        <c:dLbl>
          <c:idx val="0"/>
          <c:tx>
            <c:rich>
              <a:bodyPr/>
              <a:lstStyle/>
              <a:p>
                <a:fld id="{5066BB81-E002-4B9E-B7B7-D15C1A8D1016}" type="VALUE">
                  <a:rPr lang="en-US" b="1">
                    <a:solidFill>
                      <a:sysClr val="windowText" lastClr="000000"/>
                    </a:solidFill>
                  </a:rPr>
                  <a:pPr/>
                  <a:t>[VALUE]</a:t>
                </a:fld>
                <a:endParaRPr lang="en-IN"/>
              </a:p>
            </c:rich>
          </c:tx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3"/>
        <c:dLbl>
          <c:idx val="0"/>
          <c:tx>
            <c:rich>
              <a:bodyPr/>
              <a:lstStyle/>
              <a:p>
                <a:fld id="{D2AFD1C2-3B26-4930-A768-B34EB41B47D8}" type="VALUE">
                  <a:rPr lang="en-US" b="1">
                    <a:solidFill>
                      <a:sysClr val="windowText" lastClr="000000"/>
                    </a:solidFill>
                  </a:rPr>
                  <a:pPr/>
                  <a:t>[VALUE]</a:t>
                </a:fld>
                <a:endParaRPr lang="en-IN"/>
              </a:p>
            </c:rich>
          </c:tx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4"/>
        <c:spPr>
          <a:solidFill>
            <a:schemeClr val="tx2">
              <a:lumMod val="75000"/>
            </a:schemeClr>
          </a:solidFill>
          <a:ln>
            <a:solidFill>
              <a:schemeClr val="tx1"/>
            </a:solidFill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tx2">
              <a:lumMod val="75000"/>
            </a:schemeClr>
          </a:solidFill>
          <a:ln>
            <a:solidFill>
              <a:schemeClr val="tx1"/>
            </a:solidFill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4C497E19-FC07-40B8-B0BF-0C86F0956AB9}" type="VALUE">
                  <a:rPr lang="en-US"/>
                  <a:pPr>
                    <a:defRPr/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6"/>
        <c:spPr>
          <a:solidFill>
            <a:schemeClr val="tx2">
              <a:lumMod val="75000"/>
            </a:schemeClr>
          </a:solidFill>
          <a:ln>
            <a:solidFill>
              <a:schemeClr val="tx1"/>
            </a:solidFill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61974159-2AE9-48B0-A43B-C721336DE5DE}" type="VALUE">
                  <a:rPr lang="en-US"/>
                  <a:pPr>
                    <a:defRPr/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7"/>
        <c:spPr>
          <a:solidFill>
            <a:schemeClr val="tx2">
              <a:lumMod val="75000"/>
            </a:schemeClr>
          </a:solidFill>
          <a:ln>
            <a:solidFill>
              <a:schemeClr val="tx1"/>
            </a:solidFill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B1E235DF-FBE3-498C-9CAF-8D9D94C36CA7}" type="VALUE">
                  <a:rPr lang="en-US"/>
                  <a:pPr>
                    <a:defRPr/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8"/>
        <c:spPr>
          <a:solidFill>
            <a:schemeClr val="tx2">
              <a:lumMod val="75000"/>
            </a:schemeClr>
          </a:solidFill>
          <a:ln>
            <a:solidFill>
              <a:schemeClr val="tx1"/>
            </a:solidFill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5066BB81-E002-4B9E-B7B7-D15C1A8D1016}" type="VALUE">
                  <a:rPr lang="en-US"/>
                  <a:pPr>
                    <a:defRPr/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9"/>
        <c:spPr>
          <a:solidFill>
            <a:schemeClr val="tx2">
              <a:lumMod val="75000"/>
            </a:schemeClr>
          </a:solidFill>
          <a:ln>
            <a:solidFill>
              <a:schemeClr val="tx1"/>
            </a:solidFill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D2AFD1C2-3B26-4930-A768-B34EB41B47D8}" type="VALUE">
                  <a:rPr lang="en-US"/>
                  <a:pPr>
                    <a:defRPr/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8.4734070029997541E-2"/>
          <c:y val="0.10991988282030227"/>
          <c:w val="0.88193262454395982"/>
          <c:h val="0.703419368679583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Category_Sales!$B$5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solidFill>
                <a:schemeClr val="tx1"/>
              </a:solidFill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F3B-46E9-A93B-3B8C1751DAEA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F3B-46E9-A93B-3B8C1751DAEA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F3B-46E9-A93B-3B8C1751DAEA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F3B-46E9-A93B-3B8C1751DAEA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F3B-46E9-A93B-3B8C1751DAE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C497E19-FC07-40B8-B0BF-0C86F0956AB9}" type="VALUE">
                      <a:rPr lang="en-US"/>
                      <a:pPr/>
                      <a:t>[VALUE]</a:t>
                    </a:fld>
                    <a:endParaRPr lang="en-I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F3B-46E9-A93B-3B8C1751DAE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1974159-2AE9-48B0-A43B-C721336DE5DE}" type="VALUE">
                      <a:rPr lang="en-US"/>
                      <a:pPr/>
                      <a:t>[VALUE]</a:t>
                    </a:fld>
                    <a:endParaRPr lang="en-I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F3B-46E9-A93B-3B8C1751DAE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1E235DF-FBE3-498C-9CAF-8D9D94C36CA7}" type="VALUE">
                      <a:rPr lang="en-US"/>
                      <a:pPr/>
                      <a:t>[VALUE]</a:t>
                    </a:fld>
                    <a:endParaRPr lang="en-I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3F3B-46E9-A93B-3B8C1751DAE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066BB81-E002-4B9E-B7B7-D15C1A8D1016}" type="VALUE">
                      <a:rPr lang="en-US"/>
                      <a:pPr/>
                      <a:t>[VALUE]</a:t>
                    </a:fld>
                    <a:endParaRPr lang="en-I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3F3B-46E9-A93B-3B8C1751DAE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2AFD1C2-3B26-4930-A768-B34EB41B47D8}" type="VALUE">
                      <a:rPr lang="en-US"/>
                      <a:pPr/>
                      <a:t>[VALUE]</a:t>
                    </a:fld>
                    <a:endParaRPr lang="en-I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3F3B-46E9-A93B-3B8C1751DA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Category_Sales!$A$6:$A$11</c:f>
              <c:strCache>
                <c:ptCount val="5"/>
                <c:pt idx="0">
                  <c:v>Electronics</c:v>
                </c:pt>
                <c:pt idx="1">
                  <c:v>Fashion</c:v>
                </c:pt>
                <c:pt idx="2">
                  <c:v>Beauty</c:v>
                </c:pt>
                <c:pt idx="3">
                  <c:v>Grocery</c:v>
                </c:pt>
                <c:pt idx="4">
                  <c:v>Home &amp; Living</c:v>
                </c:pt>
              </c:strCache>
            </c:strRef>
          </c:cat>
          <c:val>
            <c:numRef>
              <c:f>Category_Sales!$B$6:$B$11</c:f>
              <c:numCache>
                <c:formatCode>General</c:formatCode>
                <c:ptCount val="5"/>
                <c:pt idx="0">
                  <c:v>49696.369999999988</c:v>
                </c:pt>
                <c:pt idx="1">
                  <c:v>39468.280000000006</c:v>
                </c:pt>
                <c:pt idx="2">
                  <c:v>22835.329999999998</c:v>
                </c:pt>
                <c:pt idx="3">
                  <c:v>11375.360000000008</c:v>
                </c:pt>
                <c:pt idx="4">
                  <c:v>10821.359999999999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F3B-46E9-A93B-3B8C1751DAE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759749648"/>
        <c:axId val="1759741488"/>
      </c:barChart>
      <c:catAx>
        <c:axId val="1759749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>
                    <a:solidFill>
                      <a:schemeClr val="tx2">
                        <a:lumMod val="50000"/>
                      </a:schemeClr>
                    </a:solidFill>
                  </a:rPr>
                  <a:t>Product category</a:t>
                </a:r>
              </a:p>
            </c:rich>
          </c:tx>
          <c:layout>
            <c:manualLayout>
              <c:xMode val="edge"/>
              <c:yMode val="edge"/>
              <c:x val="0.40777777777777785"/>
              <c:y val="0.8853492271799358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741488"/>
        <c:crosses val="autoZero"/>
        <c:auto val="1"/>
        <c:lblAlgn val="ctr"/>
        <c:lblOffset val="100"/>
        <c:noMultiLvlLbl val="0"/>
      </c:catAx>
      <c:valAx>
        <c:axId val="175974148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>
                    <a:solidFill>
                      <a:schemeClr val="tx2">
                        <a:lumMod val="50000"/>
                      </a:schemeClr>
                    </a:solidFill>
                  </a:rPr>
                  <a:t>SUM OF SALES</a:t>
                </a:r>
              </a:p>
            </c:rich>
          </c:tx>
          <c:overlay val="0"/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759749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[UAE_Retail_Analytics_Project_Starter.xlsx]Channel_Sales!PivotTable7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2">
                    <a:lumMod val="50000"/>
                  </a:schemeClr>
                </a:solidFill>
              </a:rPr>
              <a:t>Sales by Channels</a:t>
            </a:r>
          </a:p>
        </c:rich>
      </c:tx>
      <c:layout>
        <c:manualLayout>
          <c:xMode val="edge"/>
          <c:yMode val="edge"/>
          <c:x val="0.21015669617753829"/>
          <c:y val="2.8181817845599883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tx>
            <c:rich>
              <a:bodyPr/>
              <a:lstStyle/>
              <a:p>
                <a:fld id="{785B8C0D-10C7-4903-80E4-9261627BA2F2}" type="VALUE">
                  <a:rPr lang="en-US">
                    <a:solidFill>
                      <a:schemeClr val="accent3">
                        <a:lumMod val="75000"/>
                      </a:schemeClr>
                    </a:solidFill>
                  </a:rPr>
                  <a:pPr/>
                  <a:t>[VALUE]</a:t>
                </a:fld>
                <a:endParaRPr lang="en-IN"/>
              </a:p>
            </c:rich>
          </c:tx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dLbl>
          <c:idx val="0"/>
          <c:tx>
            <c:rich>
              <a:bodyPr/>
              <a:lstStyle/>
              <a:p>
                <a:fld id="{BBB71AA9-3E41-4ACC-A803-888F9BDC15A6}" type="VALUE">
                  <a:rPr lang="en-US" baseline="0">
                    <a:solidFill>
                      <a:schemeClr val="accent1"/>
                    </a:solidFill>
                  </a:rPr>
                  <a:pPr/>
                  <a:t>[VALUE]</a:t>
                </a:fld>
                <a:endParaRPr lang="en-IN"/>
              </a:p>
            </c:rich>
          </c:tx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dLbl>
          <c:idx val="0"/>
          <c:tx>
            <c:rich>
              <a:bodyPr/>
              <a:lstStyle/>
              <a:p>
                <a:fld id="{C6EA326B-1DDF-4E46-A6C1-39A7008BCC53}" type="VALUE">
                  <a:rPr lang="en-US">
                    <a:solidFill>
                      <a:schemeClr val="accent2"/>
                    </a:solidFill>
                  </a:rPr>
                  <a:pPr/>
                  <a:t>[VALUE]</a:t>
                </a:fld>
                <a:endParaRPr lang="en-IN"/>
              </a:p>
            </c:rich>
          </c:tx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tx>
            <c:rich>
              <a:bodyPr/>
              <a:lstStyle/>
              <a:p>
                <a:fld id="{BBB71AA9-3E41-4ACC-A803-888F9BDC15A6}" type="VALUE">
                  <a:rPr lang="en-US" baseline="0">
                    <a:solidFill>
                      <a:schemeClr val="accent1"/>
                    </a:solidFill>
                  </a:rPr>
                  <a:pPr/>
                  <a:t>[VALUE]</a:t>
                </a:fld>
                <a:endParaRPr lang="en-IN"/>
              </a:p>
            </c:rich>
          </c:tx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dLbl>
          <c:idx val="0"/>
          <c:tx>
            <c:rich>
              <a:bodyPr/>
              <a:lstStyle/>
              <a:p>
                <a:fld id="{C6EA326B-1DDF-4E46-A6C1-39A7008BCC53}" type="VALUE">
                  <a:rPr lang="en-US">
                    <a:solidFill>
                      <a:schemeClr val="accent2"/>
                    </a:solidFill>
                  </a:rPr>
                  <a:pPr/>
                  <a:t>[VALUE]</a:t>
                </a:fld>
                <a:endParaRPr lang="en-IN"/>
              </a:p>
            </c:rich>
          </c:tx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dLbl>
          <c:idx val="0"/>
          <c:tx>
            <c:rich>
              <a:bodyPr/>
              <a:lstStyle/>
              <a:p>
                <a:fld id="{785B8C0D-10C7-4903-80E4-9261627BA2F2}" type="VALUE">
                  <a:rPr lang="en-US">
                    <a:solidFill>
                      <a:schemeClr val="accent3">
                        <a:lumMod val="75000"/>
                      </a:schemeClr>
                    </a:solidFill>
                  </a:rPr>
                  <a:pPr/>
                  <a:t>[VALUE]</a:t>
                </a:fld>
                <a:endParaRPr lang="en-IN"/>
              </a:p>
            </c:rich>
          </c:tx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tx>
            <c:rich>
              <a:bodyPr/>
              <a:lstStyle/>
              <a:p>
                <a:fld id="{BBB71AA9-3E41-4ACC-A803-888F9BDC15A6}" type="VALUE">
                  <a:rPr lang="en-US" baseline="0">
                    <a:solidFill>
                      <a:schemeClr val="accent1"/>
                    </a:solidFill>
                  </a:rPr>
                  <a:pPr/>
                  <a:t>[VALUE]</a:t>
                </a:fld>
                <a:endParaRPr lang="en-IN"/>
              </a:p>
            </c:rich>
          </c:tx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dLbl>
          <c:idx val="0"/>
          <c:tx>
            <c:rich>
              <a:bodyPr/>
              <a:lstStyle/>
              <a:p>
                <a:fld id="{C6EA326B-1DDF-4E46-A6C1-39A7008BCC53}" type="VALUE">
                  <a:rPr lang="en-US">
                    <a:solidFill>
                      <a:schemeClr val="accent2"/>
                    </a:solidFill>
                  </a:rPr>
                  <a:pPr/>
                  <a:t>[VALUE]</a:t>
                </a:fld>
                <a:endParaRPr lang="en-IN"/>
              </a:p>
            </c:rich>
          </c:tx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dLbl>
          <c:idx val="0"/>
          <c:tx>
            <c:rich>
              <a:bodyPr/>
              <a:lstStyle/>
              <a:p>
                <a:fld id="{785B8C0D-10C7-4903-80E4-9261627BA2F2}" type="VALUE">
                  <a:rPr lang="en-US">
                    <a:solidFill>
                      <a:schemeClr val="accent3">
                        <a:lumMod val="75000"/>
                      </a:schemeClr>
                    </a:solidFill>
                  </a:rPr>
                  <a:pPr/>
                  <a:t>[VALUE]</a:t>
                </a:fld>
                <a:endParaRPr lang="en-IN"/>
              </a:p>
            </c:rich>
          </c:tx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tx>
            <c:rich>
              <a:bodyPr/>
              <a:lstStyle/>
              <a:p>
                <a:fld id="{BBB71AA9-3E41-4ACC-A803-888F9BDC15A6}" type="VALUE">
                  <a:rPr lang="en-US" baseline="0">
                    <a:solidFill>
                      <a:schemeClr val="accent1"/>
                    </a:solidFill>
                  </a:rPr>
                  <a:pPr/>
                  <a:t>[VALUE]</a:t>
                </a:fld>
                <a:endParaRPr lang="en-IN"/>
              </a:p>
            </c:rich>
          </c:tx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4"/>
        <c:dLbl>
          <c:idx val="0"/>
          <c:tx>
            <c:rich>
              <a:bodyPr/>
              <a:lstStyle/>
              <a:p>
                <a:fld id="{C6EA326B-1DDF-4E46-A6C1-39A7008BCC53}" type="VALUE">
                  <a:rPr lang="en-US">
                    <a:solidFill>
                      <a:schemeClr val="accent2"/>
                    </a:solidFill>
                  </a:rPr>
                  <a:pPr/>
                  <a:t>[VALUE]</a:t>
                </a:fld>
                <a:endParaRPr lang="en-IN"/>
              </a:p>
            </c:rich>
          </c:tx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5"/>
        <c:dLbl>
          <c:idx val="0"/>
          <c:tx>
            <c:rich>
              <a:bodyPr/>
              <a:lstStyle/>
              <a:p>
                <a:fld id="{785B8C0D-10C7-4903-80E4-9261627BA2F2}" type="VALUE">
                  <a:rPr lang="en-US">
                    <a:solidFill>
                      <a:schemeClr val="accent3">
                        <a:lumMod val="75000"/>
                      </a:schemeClr>
                    </a:solidFill>
                  </a:rPr>
                  <a:pPr/>
                  <a:t>[VALUE]</a:t>
                </a:fld>
                <a:endParaRPr lang="en-IN"/>
              </a:p>
            </c:rich>
          </c:tx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6"/>
        <c:spPr>
          <a:solidFill>
            <a:schemeClr val="lt1"/>
          </a:solidFill>
          <a:ln w="19050">
            <a:solidFill>
              <a:schemeClr val="tx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lt1"/>
          </a:solidFill>
          <a:ln w="19050">
            <a:solidFill>
              <a:schemeClr val="tx2"/>
            </a:solidFill>
          </a:ln>
          <a:effectLst/>
        </c:spPr>
      </c:pivotFmt>
      <c:pivotFmt>
        <c:idx val="18"/>
        <c:spPr>
          <a:solidFill>
            <a:schemeClr val="lt1"/>
          </a:solidFill>
          <a:ln w="19050">
            <a:solidFill>
              <a:schemeClr val="tx2"/>
            </a:solidFill>
          </a:ln>
          <a:effectLst/>
        </c:spPr>
      </c:pivotFmt>
      <c:pivotFmt>
        <c:idx val="19"/>
        <c:spPr>
          <a:solidFill>
            <a:schemeClr val="lt1"/>
          </a:solidFill>
          <a:ln w="19050">
            <a:solidFill>
              <a:schemeClr val="tx2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602489665232511"/>
          <c:y val="0.18834103003241789"/>
          <c:w val="0.35423226624225257"/>
          <c:h val="0.74652766341860477"/>
        </c:manualLayout>
      </c:layout>
      <c:doughnutChart>
        <c:varyColors val="1"/>
        <c:ser>
          <c:idx val="0"/>
          <c:order val="0"/>
          <c:tx>
            <c:strRef>
              <c:f>Channel_Sales!$B$5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tx2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tx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36-4111-AABB-9D418A3E240E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tx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36-4111-AABB-9D418A3E240E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tx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36-4111-AABB-9D418A3E24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Channel_Sales!$A$6:$A$9</c:f>
              <c:strCache>
                <c:ptCount val="3"/>
                <c:pt idx="0">
                  <c:v>Online</c:v>
                </c:pt>
                <c:pt idx="1">
                  <c:v>Retail Store</c:v>
                </c:pt>
                <c:pt idx="2">
                  <c:v>Marketplace</c:v>
                </c:pt>
              </c:strCache>
            </c:strRef>
          </c:cat>
          <c:val>
            <c:numRef>
              <c:f>Channel_Sales!$B$6:$B$9</c:f>
              <c:numCache>
                <c:formatCode>General</c:formatCode>
                <c:ptCount val="3"/>
                <c:pt idx="0">
                  <c:v>72649.569999999992</c:v>
                </c:pt>
                <c:pt idx="1">
                  <c:v>32590.409999999996</c:v>
                </c:pt>
                <c:pt idx="2">
                  <c:v>28956.720000000005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36-4111-AABB-9D418A3E240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</xdr:row>
      <xdr:rowOff>173791</xdr:rowOff>
    </xdr:from>
    <xdr:to>
      <xdr:col>5</xdr:col>
      <xdr:colOff>0</xdr:colOff>
      <xdr:row>23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5DBED1-CFCD-4031-93E0-D3CA83AD3E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-1</xdr:rowOff>
    </xdr:from>
    <xdr:to>
      <xdr:col>4</xdr:col>
      <xdr:colOff>1926165</xdr:colOff>
      <xdr:row>42</xdr:row>
      <xdr:rowOff>10582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9788B9-E4B0-42FD-9394-43C2801024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4</xdr:col>
      <xdr:colOff>1926165</xdr:colOff>
      <xdr:row>61</xdr:row>
      <xdr:rowOff>31750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956ABA2-784D-4B96-973C-3C8221AE5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w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ncy" refreshedDate="46313.780486689815" createdVersion="8" refreshedVersion="8" minRefreshableVersion="3" recordCount="420" xr:uid="{6F126601-2AF4-4976-9A89-61B4A9193161}">
  <cacheSource type="worksheet">
    <worksheetSource name="Table1"/>
  </cacheSource>
  <cacheFields count="16">
    <cacheField name="Order_ID" numFmtId="0">
      <sharedItems count="420">
        <s v="ORD-10001"/>
        <s v="ORD-10002"/>
        <s v="ORD-10003"/>
        <s v="ORD-10004"/>
        <s v="ORD-10005"/>
        <s v="ORD-10006"/>
        <s v="ORD-10007"/>
        <s v="ORD-10008"/>
        <s v="ORD-10009"/>
        <s v="ORD-10010"/>
        <s v="ORD-10011"/>
        <s v="ORD-10012"/>
        <s v="ORD-10013"/>
        <s v="ORD-10014"/>
        <s v="ORD-10015"/>
        <s v="ORD-10016"/>
        <s v="ORD-10017"/>
        <s v="ORD-10018"/>
        <s v="ORD-10019"/>
        <s v="ORD-10020"/>
        <s v="ORD-10021"/>
        <s v="ORD-10022"/>
        <s v="ORD-10023"/>
        <s v="ORD-10024"/>
        <s v="ORD-10025"/>
        <s v="ORD-10026"/>
        <s v="ORD-10027"/>
        <s v="ORD-10028"/>
        <s v="ORD-10029"/>
        <s v="ORD-10030"/>
        <s v="ORD-10031"/>
        <s v="ORD-10032"/>
        <s v="ORD-10033"/>
        <s v="ORD-10034"/>
        <s v="ORD-10035"/>
        <s v="ORD-10036"/>
        <s v="ORD-10037"/>
        <s v="ORD-10038"/>
        <s v="ORD-10039"/>
        <s v="ORD-10040"/>
        <s v="ORD-10041"/>
        <s v="ORD-10042"/>
        <s v="ORD-10043"/>
        <s v="ORD-10044"/>
        <s v="ORD-10045"/>
        <s v="ORD-10046"/>
        <s v="ORD-10047"/>
        <s v="ORD-10048"/>
        <s v="ORD-10049"/>
        <s v="ORD-10050"/>
        <s v="ORD-10051"/>
        <s v="ORD-10052"/>
        <s v="ORD-10053"/>
        <s v="ORD-10054"/>
        <s v="ORD-10055"/>
        <s v="ORD-10056"/>
        <s v="ORD-10057"/>
        <s v="ORD-10058"/>
        <s v="ORD-10059"/>
        <s v="ORD-10060"/>
        <s v="ORD-10061"/>
        <s v="ORD-10062"/>
        <s v="ORD-10063"/>
        <s v="ORD-10064"/>
        <s v="ORD-10065"/>
        <s v="ORD-10066"/>
        <s v="ORD-10067"/>
        <s v="ORD-10068"/>
        <s v="ORD-10069"/>
        <s v="ORD-10070"/>
        <s v="ORD-10071"/>
        <s v="ORD-10072"/>
        <s v="ORD-10073"/>
        <s v="ORD-10074"/>
        <s v="ORD-10075"/>
        <s v="ORD-10076"/>
        <s v="ORD-10077"/>
        <s v="ORD-10078"/>
        <s v="ORD-10079"/>
        <s v="ORD-10080"/>
        <s v="ORD-10081"/>
        <s v="ORD-10082"/>
        <s v="ORD-10083"/>
        <s v="ORD-10084"/>
        <s v="ORD-10085"/>
        <s v="ORD-10086"/>
        <s v="ORD-10087"/>
        <s v="ORD-10088"/>
        <s v="ORD-10089"/>
        <s v="ORD-10090"/>
        <s v="ORD-10091"/>
        <s v="ORD-10092"/>
        <s v="ORD-10093"/>
        <s v="ORD-10094"/>
        <s v="ORD-10095"/>
        <s v="ORD-10096"/>
        <s v="ORD-10097"/>
        <s v="ORD-10098"/>
        <s v="ORD-10099"/>
        <s v="ORD-10100"/>
        <s v="ORD-10101"/>
        <s v="ORD-10102"/>
        <s v="ORD-10103"/>
        <s v="ORD-10104"/>
        <s v="ORD-10105"/>
        <s v="ORD-10106"/>
        <s v="ORD-10107"/>
        <s v="ORD-10108"/>
        <s v="ORD-10109"/>
        <s v="ORD-10110"/>
        <s v="ORD-10111"/>
        <s v="ORD-10112"/>
        <s v="ORD-10113"/>
        <s v="ORD-10114"/>
        <s v="ORD-10115"/>
        <s v="ORD-10116"/>
        <s v="ORD-10117"/>
        <s v="ORD-10118"/>
        <s v="ORD-10119"/>
        <s v="ORD-10120"/>
        <s v="ORD-10121"/>
        <s v="ORD-10122"/>
        <s v="ORD-10123"/>
        <s v="ORD-10124"/>
        <s v="ORD-10125"/>
        <s v="ORD-10126"/>
        <s v="ORD-10127"/>
        <s v="ORD-10128"/>
        <s v="ORD-10129"/>
        <s v="ORD-10130"/>
        <s v="ORD-10131"/>
        <s v="ORD-10132"/>
        <s v="ORD-10133"/>
        <s v="ORD-10134"/>
        <s v="ORD-10135"/>
        <s v="ORD-10136"/>
        <s v="ORD-10137"/>
        <s v="ORD-10138"/>
        <s v="ORD-10139"/>
        <s v="ORD-10140"/>
        <s v="ORD-10141"/>
        <s v="ORD-10142"/>
        <s v="ORD-10143"/>
        <s v="ORD-10144"/>
        <s v="ORD-10145"/>
        <s v="ORD-10146"/>
        <s v="ORD-10147"/>
        <s v="ORD-10148"/>
        <s v="ORD-10149"/>
        <s v="ORD-10150"/>
        <s v="ORD-10151"/>
        <s v="ORD-10152"/>
        <s v="ORD-10153"/>
        <s v="ORD-10154"/>
        <s v="ORD-10155"/>
        <s v="ORD-10156"/>
        <s v="ORD-10157"/>
        <s v="ORD-10158"/>
        <s v="ORD-10159"/>
        <s v="ORD-10160"/>
        <s v="ORD-10161"/>
        <s v="ORD-10162"/>
        <s v="ORD-10163"/>
        <s v="ORD-10164"/>
        <s v="ORD-10165"/>
        <s v="ORD-10166"/>
        <s v="ORD-10167"/>
        <s v="ORD-10168"/>
        <s v="ORD-10169"/>
        <s v="ORD-10170"/>
        <s v="ORD-10171"/>
        <s v="ORD-10172"/>
        <s v="ORD-10173"/>
        <s v="ORD-10174"/>
        <s v="ORD-10175"/>
        <s v="ORD-10176"/>
        <s v="ORD-10177"/>
        <s v="ORD-10178"/>
        <s v="ORD-10179"/>
        <s v="ORD-10180"/>
        <s v="ORD-10181"/>
        <s v="ORD-10182"/>
        <s v="ORD-10183"/>
        <s v="ORD-10184"/>
        <s v="ORD-10185"/>
        <s v="ORD-10186"/>
        <s v="ORD-10187"/>
        <s v="ORD-10188"/>
        <s v="ORD-10189"/>
        <s v="ORD-10190"/>
        <s v="ORD-10191"/>
        <s v="ORD-10192"/>
        <s v="ORD-10193"/>
        <s v="ORD-10194"/>
        <s v="ORD-10195"/>
        <s v="ORD-10196"/>
        <s v="ORD-10197"/>
        <s v="ORD-10198"/>
        <s v="ORD-10199"/>
        <s v="ORD-10200"/>
        <s v="ORD-10201"/>
        <s v="ORD-10202"/>
        <s v="ORD-10203"/>
        <s v="ORD-10204"/>
        <s v="ORD-10205"/>
        <s v="ORD-10206"/>
        <s v="ORD-10207"/>
        <s v="ORD-10208"/>
        <s v="ORD-10209"/>
        <s v="ORD-10210"/>
        <s v="ORD-10211"/>
        <s v="ORD-10212"/>
        <s v="ORD-10213"/>
        <s v="ORD-10214"/>
        <s v="ORD-10215"/>
        <s v="ORD-10216"/>
        <s v="ORD-10217"/>
        <s v="ORD-10218"/>
        <s v="ORD-10219"/>
        <s v="ORD-10220"/>
        <s v="ORD-10221"/>
        <s v="ORD-10222"/>
        <s v="ORD-10223"/>
        <s v="ORD-10224"/>
        <s v="ORD-10225"/>
        <s v="ORD-10226"/>
        <s v="ORD-10227"/>
        <s v="ORD-10228"/>
        <s v="ORD-10229"/>
        <s v="ORD-10230"/>
        <s v="ORD-10231"/>
        <s v="ORD-10232"/>
        <s v="ORD-10233"/>
        <s v="ORD-10234"/>
        <s v="ORD-10235"/>
        <s v="ORD-10236"/>
        <s v="ORD-10237"/>
        <s v="ORD-10238"/>
        <s v="ORD-10239"/>
        <s v="ORD-10240"/>
        <s v="ORD-10241"/>
        <s v="ORD-10242"/>
        <s v="ORD-10243"/>
        <s v="ORD-10244"/>
        <s v="ORD-10245"/>
        <s v="ORD-10246"/>
        <s v="ORD-10247"/>
        <s v="ORD-10248"/>
        <s v="ORD-10249"/>
        <s v="ORD-10250"/>
        <s v="ORD-10251"/>
        <s v="ORD-10252"/>
        <s v="ORD-10253"/>
        <s v="ORD-10254"/>
        <s v="ORD-10255"/>
        <s v="ORD-10256"/>
        <s v="ORD-10257"/>
        <s v="ORD-10258"/>
        <s v="ORD-10259"/>
        <s v="ORD-10260"/>
        <s v="ORD-10261"/>
        <s v="ORD-10262"/>
        <s v="ORD-10263"/>
        <s v="ORD-10264"/>
        <s v="ORD-10265"/>
        <s v="ORD-10266"/>
        <s v="ORD-10267"/>
        <s v="ORD-10268"/>
        <s v="ORD-10269"/>
        <s v="ORD-10270"/>
        <s v="ORD-10271"/>
        <s v="ORD-10272"/>
        <s v="ORD-10273"/>
        <s v="ORD-10274"/>
        <s v="ORD-10275"/>
        <s v="ORD-10276"/>
        <s v="ORD-10277"/>
        <s v="ORD-10278"/>
        <s v="ORD-10279"/>
        <s v="ORD-10280"/>
        <s v="ORD-10281"/>
        <s v="ORD-10282"/>
        <s v="ORD-10283"/>
        <s v="ORD-10284"/>
        <s v="ORD-10285"/>
        <s v="ORD-10286"/>
        <s v="ORD-10287"/>
        <s v="ORD-10288"/>
        <s v="ORD-10289"/>
        <s v="ORD-10290"/>
        <s v="ORD-10291"/>
        <s v="ORD-10292"/>
        <s v="ORD-10293"/>
        <s v="ORD-10294"/>
        <s v="ORD-10295"/>
        <s v="ORD-10296"/>
        <s v="ORD-10297"/>
        <s v="ORD-10298"/>
        <s v="ORD-10299"/>
        <s v="ORD-10300"/>
        <s v="ORD-10301"/>
        <s v="ORD-10302"/>
        <s v="ORD-10303"/>
        <s v="ORD-10304"/>
        <s v="ORD-10305"/>
        <s v="ORD-10306"/>
        <s v="ORD-10307"/>
        <s v="ORD-10308"/>
        <s v="ORD-10309"/>
        <s v="ORD-10310"/>
        <s v="ORD-10311"/>
        <s v="ORD-10312"/>
        <s v="ORD-10313"/>
        <s v="ORD-10314"/>
        <s v="ORD-10315"/>
        <s v="ORD-10316"/>
        <s v="ORD-10317"/>
        <s v="ORD-10318"/>
        <s v="ORD-10319"/>
        <s v="ORD-10320"/>
        <s v="ORD-10321"/>
        <s v="ORD-10322"/>
        <s v="ORD-10323"/>
        <s v="ORD-10324"/>
        <s v="ORD-10325"/>
        <s v="ORD-10326"/>
        <s v="ORD-10327"/>
        <s v="ORD-10328"/>
        <s v="ORD-10329"/>
        <s v="ORD-10330"/>
        <s v="ORD-10331"/>
        <s v="ORD-10332"/>
        <s v="ORD-10333"/>
        <s v="ORD-10334"/>
        <s v="ORD-10335"/>
        <s v="ORD-10336"/>
        <s v="ORD-10337"/>
        <s v="ORD-10338"/>
        <s v="ORD-10339"/>
        <s v="ORD-10340"/>
        <s v="ORD-10341"/>
        <s v="ORD-10342"/>
        <s v="ORD-10343"/>
        <s v="ORD-10344"/>
        <s v="ORD-10345"/>
        <s v="ORD-10346"/>
        <s v="ORD-10347"/>
        <s v="ORD-10348"/>
        <s v="ORD-10349"/>
        <s v="ORD-10350"/>
        <s v="ORD-10351"/>
        <s v="ORD-10352"/>
        <s v="ORD-10353"/>
        <s v="ORD-10354"/>
        <s v="ORD-10355"/>
        <s v="ORD-10356"/>
        <s v="ORD-10357"/>
        <s v="ORD-10358"/>
        <s v="ORD-10359"/>
        <s v="ORD-10360"/>
        <s v="ORD-10361"/>
        <s v="ORD-10362"/>
        <s v="ORD-10363"/>
        <s v="ORD-10364"/>
        <s v="ORD-10365"/>
        <s v="ORD-10366"/>
        <s v="ORD-10367"/>
        <s v="ORD-10368"/>
        <s v="ORD-10369"/>
        <s v="ORD-10370"/>
        <s v="ORD-10371"/>
        <s v="ORD-10372"/>
        <s v="ORD-10373"/>
        <s v="ORD-10374"/>
        <s v="ORD-10375"/>
        <s v="ORD-10376"/>
        <s v="ORD-10377"/>
        <s v="ORD-10378"/>
        <s v="ORD-10379"/>
        <s v="ORD-10380"/>
        <s v="ORD-10381"/>
        <s v="ORD-10382"/>
        <s v="ORD-10383"/>
        <s v="ORD-10384"/>
        <s v="ORD-10385"/>
        <s v="ORD-10386"/>
        <s v="ORD-10387"/>
        <s v="ORD-10388"/>
        <s v="ORD-10389"/>
        <s v="ORD-10390"/>
        <s v="ORD-10391"/>
        <s v="ORD-10392"/>
        <s v="ORD-10393"/>
        <s v="ORD-10394"/>
        <s v="ORD-10395"/>
        <s v="ORD-10396"/>
        <s v="ORD-10397"/>
        <s v="ORD-10398"/>
        <s v="ORD-10399"/>
        <s v="ORD-10400"/>
        <s v="ORD-10401"/>
        <s v="ORD-10402"/>
        <s v="ORD-10403"/>
        <s v="ORD-10404"/>
        <s v="ORD-10405"/>
        <s v="ORD-10406"/>
        <s v="ORD-10407"/>
        <s v="ORD-10408"/>
        <s v="ORD-10409"/>
        <s v="ORD-10410"/>
        <s v="ORD-10411"/>
        <s v="ORD-10412"/>
        <s v="ORD-10413"/>
        <s v="ORD-10414"/>
        <s v="ORD-10415"/>
        <s v="ORD-10416"/>
        <s v="ORD-10417"/>
        <s v="ORD-10418"/>
        <s v="ORD-10419"/>
        <s v="ORD-10420"/>
      </sharedItems>
    </cacheField>
    <cacheField name="Order_Date" numFmtId="164">
      <sharedItems containsSemiMixedTypes="0" containsNonDate="0" containsDate="1" containsString="0" minDate="2025-01-02T00:00:00" maxDate="2026-01-01T00:00:00"/>
    </cacheField>
    <cacheField name="Region" numFmtId="0">
      <sharedItems count="6">
        <s v="Abu Dhabi"/>
        <s v="Al Ain"/>
        <s v="Dubai"/>
        <s v="Sharjah"/>
        <s v="Ajman"/>
        <s v="dubai " u="1"/>
      </sharedItems>
    </cacheField>
    <cacheField name="Sales_Channel" numFmtId="0">
      <sharedItems containsBlank="1" count="4">
        <s v="Online"/>
        <s v="Marketplace"/>
        <s v="Retail Store"/>
        <m u="1"/>
      </sharedItems>
    </cacheField>
    <cacheField name="Product_Category" numFmtId="0">
      <sharedItems containsBlank="1" count="7">
        <s v="Fashion"/>
        <s v="Home &amp; Living"/>
        <s v="Beauty"/>
        <s v="Electronics"/>
        <s v="Grocery"/>
        <s v=" electronics" u="1"/>
        <m u="1"/>
      </sharedItems>
    </cacheField>
    <cacheField name="Product" numFmtId="0">
      <sharedItems/>
    </cacheField>
    <cacheField name="Units_Sold" numFmtId="0">
      <sharedItems containsSemiMixedTypes="0" containsString="0" containsNumber="1" containsInteger="1" minValue="0" maxValue="5"/>
    </cacheField>
    <cacheField name="Unit_Price_AED" numFmtId="0">
      <sharedItems containsSemiMixedTypes="0" containsString="0" containsNumber="1" minValue="31.53" maxValue="346.99"/>
    </cacheField>
    <cacheField name="Discount_Pct" numFmtId="0">
      <sharedItems containsSemiMixedTypes="0" containsString="0" containsNumber="1" minValue="0" maxValue="0.2"/>
    </cacheField>
    <cacheField name="Sales_AED" numFmtId="0">
      <sharedItems containsSemiMixedTypes="0" containsString="0" containsNumber="1" minValue="25.86" maxValue="1606.36" count="419">
        <n v="159.12"/>
        <n v="196.17"/>
        <n v="445.48"/>
        <n v="165.92"/>
        <n v="156.16"/>
        <n v="141.63"/>
        <n v="835.9"/>
        <n v="504.87"/>
        <n v="109.17"/>
        <n v="104.99"/>
        <n v="442.47"/>
        <n v="483.5"/>
        <n v="863.21"/>
        <n v="135.49"/>
        <n v="90.5"/>
        <n v="792.22"/>
        <n v="431.32"/>
        <n v="286.04000000000002"/>
        <n v="1108.0999999999999"/>
        <n v="137.38"/>
        <n v="104.34"/>
        <n v="25.86"/>
        <n v="951.24"/>
        <n v="285.83999999999997"/>
        <n v="1483.25"/>
        <n v="514"/>
        <n v="306.10000000000002"/>
        <n v="235.1"/>
        <n v="1256.3"/>
        <n v="344.59"/>
        <n v="1606.36"/>
        <n v="352.54"/>
        <n v="114.67"/>
        <n v="55.97"/>
        <n v="210.68"/>
        <n v="131.24"/>
        <n v="116.99"/>
        <n v="88.79"/>
        <n v="71.42"/>
        <n v="140.76"/>
        <n v="160.09"/>
        <n v="630.65"/>
        <n v="46"/>
        <n v="302.44"/>
        <n v="76.23"/>
        <n v="49.99"/>
        <n v="135.47999999999999"/>
        <n v="749.25"/>
        <n v="540.86"/>
        <n v="658.16"/>
        <n v="79.16"/>
        <n v="419.94"/>
        <n v="300.27999999999997"/>
        <n v="57.43"/>
        <n v="170.55"/>
        <n v="43.83"/>
        <n v="61.67"/>
        <n v="68.12"/>
        <n v="103.72"/>
        <n v="373.49"/>
        <n v="60.99"/>
        <n v="96.44"/>
        <n v="1026.5899999999999"/>
        <n v="214.43"/>
        <n v="364.96"/>
        <n v="87.24"/>
        <n v="108.34"/>
        <n v="545.70000000000005"/>
        <n v="97.28"/>
        <n v="205.65"/>
        <n v="140"/>
        <n v="271.8"/>
        <n v="1034.8800000000001"/>
        <n v="108.4"/>
        <n v="90.21"/>
        <n v="102.1"/>
        <n v="145.94"/>
        <n v="88.59"/>
        <n v="82.34"/>
        <n v="419.41"/>
        <n v="427.8"/>
        <n v="166.43"/>
        <n v="253.33"/>
        <n v="182.15"/>
        <n v="89.68"/>
        <n v="719.2"/>
        <n v="162.30000000000001"/>
        <n v="419.43"/>
        <n v="113.89"/>
        <n v="151.15"/>
        <n v="176.1"/>
        <n v="95.57"/>
        <n v="145.51"/>
        <n v="58.09"/>
        <n v="169.75"/>
        <n v="419.26"/>
        <n v="38.25"/>
        <n v="57.49"/>
        <n v="72.5"/>
        <n v="470.59"/>
        <n v="108.19"/>
        <n v="310.04000000000002"/>
        <n v="580.99"/>
        <n v="1210.0999999999999"/>
        <n v="376.29"/>
        <n v="122.97"/>
        <n v="249.81"/>
        <n v="517.25"/>
        <n v="293"/>
        <n v="71.33"/>
        <n v="37.04"/>
        <n v="85.51"/>
        <n v="118.3"/>
        <n v="72.37"/>
        <n v="153.94"/>
        <n v="360.79"/>
        <n v="770.95"/>
        <n v="428.94"/>
        <n v="88.83"/>
        <n v="698.15"/>
        <n v="272.74"/>
        <n v="599.41"/>
        <n v="223.63"/>
        <n v="1512.73"/>
        <n v="662.28"/>
        <n v="77.72"/>
        <n v="44.31"/>
        <n v="44.11"/>
        <n v="450.68"/>
        <n v="160.97999999999999"/>
        <n v="457.34"/>
        <n v="292.72000000000003"/>
        <n v="244.05"/>
        <n v="280.63"/>
        <n v="1087.22"/>
        <n v="186.4"/>
        <n v="244.55"/>
        <n v="245.15"/>
        <n v="1152.9000000000001"/>
        <n v="369.59"/>
        <n v="310.02999999999997"/>
        <n v="248.75"/>
        <n v="544.84"/>
        <n v="256.05"/>
        <n v="131.25"/>
        <n v="690.77"/>
        <n v="738.58"/>
        <n v="50.35"/>
        <n v="197.13"/>
        <n v="338.04"/>
        <n v="1544.85"/>
        <n v="158.76"/>
        <n v="75.64"/>
        <n v="125.29"/>
        <n v="393.19"/>
        <n v="230.65"/>
        <n v="216.25"/>
        <n v="346.17"/>
        <n v="104.76"/>
        <n v="48.58"/>
        <n v="51.53"/>
        <n v="152.72"/>
        <n v="234.52"/>
        <n v="121.87"/>
        <n v="470.08"/>
        <n v="318.60000000000002"/>
        <n v="563.44000000000005"/>
        <n v="53.12"/>
        <n v="152.47999999999999"/>
        <n v="176.27"/>
        <n v="1248.22"/>
        <n v="978.01"/>
        <n v="83.68"/>
        <n v="1016.85"/>
        <n v="161.59"/>
        <n v="476.72"/>
        <n v="33.33"/>
        <n v="597.88"/>
        <n v="422.93"/>
        <n v="762.51"/>
        <n v="323.39"/>
        <n v="224.44"/>
        <n v="259.77"/>
        <n v="147"/>
        <n v="243.46"/>
        <n v="415.99"/>
        <n v="218.9"/>
        <n v="332.64"/>
        <n v="48.44"/>
        <n v="79.86"/>
        <n v="250.67"/>
        <n v="557.54999999999995"/>
        <n v="597.04"/>
        <n v="189.28"/>
        <n v="131.9"/>
        <n v="988.92"/>
        <n v="177.55"/>
        <n v="922.8"/>
        <n v="312.98"/>
        <n v="144.94"/>
        <n v="474.24"/>
        <n v="100.94"/>
        <n v="112.53"/>
        <n v="112.25"/>
        <n v="326.82"/>
        <n v="163.75"/>
        <n v="87.9"/>
        <n v="39.61"/>
        <n v="95.52"/>
        <n v="146.6"/>
        <n v="205.26"/>
        <n v="828.59"/>
        <n v="1082.02"/>
        <n v="453.08"/>
        <n v="154.77000000000001"/>
        <n v="36.22"/>
        <n v="76.13"/>
        <n v="1411.03"/>
        <n v="435.9"/>
        <n v="317.22000000000003"/>
        <n v="46.03"/>
        <n v="327.27999999999997"/>
        <n v="580.35"/>
        <n v="179.09"/>
        <n v="816.38"/>
        <n v="199.51"/>
        <n v="189.59"/>
        <n v="335.62"/>
        <n v="377.79"/>
        <n v="340.83"/>
        <n v="290.52999999999997"/>
        <n v="69.62"/>
        <n v="612.51"/>
        <n v="175.13"/>
        <n v="201.09"/>
        <n v="525.35"/>
        <n v="304.13"/>
        <n v="97.22"/>
        <n v="216.5"/>
        <n v="211.74"/>
        <n v="31.64"/>
        <n v="338.13"/>
        <n v="54.59"/>
        <n v="106.93"/>
        <n v="198.46"/>
        <n v="72.900000000000006"/>
        <n v="138.09"/>
        <n v="1233.43"/>
        <n v="37.479999999999997"/>
        <n v="192.31"/>
        <n v="145.16999999999999"/>
        <n v="262.66000000000003"/>
        <n v="288.31"/>
        <n v="330"/>
        <n v="184.38"/>
        <n v="47.07"/>
        <n v="316.01"/>
        <n v="78.95"/>
        <n v="217.69"/>
        <n v="166.01"/>
        <n v="166.84"/>
        <n v="345.99"/>
        <n v="773.16"/>
        <n v="1259.55"/>
        <n v="487.18"/>
        <n v="931.82"/>
        <n v="153.41"/>
        <n v="130.35"/>
        <n v="46.19"/>
        <n v="130.24"/>
        <n v="693.8"/>
        <n v="419"/>
        <n v="495.77"/>
        <n v="148.38"/>
        <n v="372.38"/>
        <n v="91.64"/>
        <n v="311.98"/>
        <n v="203.02"/>
        <n v="219.4"/>
        <n v="111.93"/>
        <n v="1449.5"/>
        <n v="855.59"/>
        <n v="254.74"/>
        <n v="353.16"/>
        <n v="1511.06"/>
        <n v="93.98"/>
        <n v="144.69"/>
        <n v="31.53"/>
        <n v="366.26"/>
        <n v="171.81"/>
        <n v="218.29"/>
        <n v="241.23"/>
        <n v="312.45"/>
        <n v="203.35"/>
        <n v="1158.3900000000001"/>
        <n v="896.48"/>
        <n v="113.43"/>
        <n v="582.66999999999996"/>
        <n v="283.39999999999998"/>
        <n v="177.9"/>
        <n v="99.58"/>
        <n v="35.72"/>
        <n v="88.45"/>
        <n v="32.14"/>
        <n v="62.09"/>
        <n v="48.53"/>
        <n v="117.58"/>
        <n v="479.72"/>
        <n v="172.33"/>
        <n v="32.01"/>
        <n v="146.93"/>
        <n v="221.62"/>
        <n v="166.09"/>
        <n v="170.34"/>
        <n v="270.45"/>
        <n v="158.91999999999999"/>
        <n v="155.37"/>
        <n v="213.64"/>
        <n v="243.6"/>
        <n v="91.58"/>
        <n v="122.93"/>
        <n v="687.45"/>
        <n v="307.27999999999997"/>
        <n v="344"/>
        <n v="261.18"/>
        <n v="323.04000000000002"/>
        <n v="54.64"/>
        <n v="604"/>
        <n v="137.02000000000001"/>
        <n v="840.71"/>
        <n v="183.44"/>
        <n v="47.22"/>
        <n v="204.73"/>
        <n v="191.39"/>
        <n v="587.20000000000005"/>
        <n v="193.5"/>
        <n v="727.04"/>
        <n v="107.41"/>
        <n v="123.77"/>
        <n v="429.39"/>
        <n v="224.1"/>
        <n v="175.59"/>
        <n v="187.36"/>
        <n v="325.24"/>
        <n v="437.31"/>
        <n v="569.29999999999995"/>
        <n v="274.58999999999997"/>
        <n v="332.2"/>
        <n v="416.12"/>
        <n v="159.16"/>
        <n v="41.32"/>
        <n v="174"/>
        <n v="372.48"/>
        <n v="71.290000000000006"/>
        <n v="81.78"/>
        <n v="448.62"/>
        <n v="45.01"/>
        <n v="81.239999999999995"/>
        <n v="41.36"/>
        <n v="138.19999999999999"/>
        <n v="479.2"/>
        <n v="61.04"/>
        <n v="488.85"/>
        <n v="131.4"/>
        <n v="174.78"/>
        <n v="217.12"/>
        <n v="262.2"/>
        <n v="68.849999999999994"/>
        <n v="126.8"/>
        <n v="35.200000000000003"/>
        <n v="89.83"/>
        <n v="182.87"/>
        <n v="687.68"/>
        <n v="710.4"/>
        <n v="40.47"/>
        <n v="163.71"/>
        <n v="124.2"/>
        <n v="74.209999999999994"/>
        <n v="109.57"/>
        <n v="753.1"/>
        <n v="123.69"/>
        <n v="94.91"/>
        <n v="36.69"/>
        <n v="740.32"/>
        <n v="149.35"/>
        <n v="125.94"/>
        <n v="1106.45"/>
        <n v="677.37"/>
        <n v="921.51"/>
        <n v="335.35"/>
        <n v="131.08000000000001"/>
        <n v="81.12"/>
        <n v="33.119999999999997"/>
        <n v="152.13"/>
        <n v="231.06"/>
        <n v="138.22"/>
        <n v="94.94"/>
        <n v="959.68"/>
        <n v="114.48"/>
        <n v="1167.44"/>
        <n v="43.35"/>
        <n v="258.60000000000002"/>
        <n v="553.13"/>
        <n v="977.68"/>
        <n v="37.85"/>
        <n v="218.54"/>
        <n v="350.4"/>
        <n v="108.59"/>
        <n v="168.52"/>
        <n v="227.29"/>
        <n v="163.22999999999999"/>
        <n v="587.04"/>
        <n v="465.71"/>
        <n v="322.47000000000003"/>
        <n v="230.3"/>
        <n v="192.44"/>
        <n v="248.81"/>
        <n v="183.08"/>
        <n v="792.46"/>
      </sharedItems>
    </cacheField>
    <cacheField name="Cost_AED" numFmtId="0">
      <sharedItems containsSemiMixedTypes="0" containsString="0" containsNumber="1" minValue="12.92" maxValue="1018.22"/>
    </cacheField>
    <cacheField name="Order_Status" numFmtId="0">
      <sharedItems/>
    </cacheField>
    <cacheField name="Delivery_Days" numFmtId="0">
      <sharedItems containsString="0" containsBlank="1" containsNumber="1" containsInteger="1" minValue="1" maxValue="8"/>
    </cacheField>
    <cacheField name="Customer_Rating" numFmtId="0">
      <sharedItems containsString="0" containsBlank="1" containsNumber="1" containsInteger="1" minValue="1" maxValue="6"/>
    </cacheField>
    <cacheField name="Returned" numFmtId="0">
      <sharedItems/>
    </cacheField>
    <cacheField name="Category_Clean" numFmtId="0">
      <sharedItems count="5">
        <s v="Fashion"/>
        <s v="Home &amp; Living"/>
        <s v="Beauty"/>
        <s v="Electronics"/>
        <s v="Groce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">
  <r>
    <x v="0"/>
    <d v="2025-02-02T00:00:00"/>
    <x v="0"/>
    <x v="0"/>
    <x v="0"/>
    <s v="Cotton T-Shirt"/>
    <n v="3"/>
    <n v="53.04"/>
    <n v="0"/>
    <x v="0"/>
    <n v="62.07"/>
    <s v="Delivered"/>
    <n v="6"/>
    <n v="3"/>
    <s v="No"/>
    <x v="0"/>
  </r>
  <r>
    <x v="1"/>
    <d v="2025-10-10T00:00:00"/>
    <x v="1"/>
    <x v="1"/>
    <x v="1"/>
    <s v="Water Bottle"/>
    <n v="5"/>
    <n v="41.3"/>
    <n v="0.05"/>
    <x v="1"/>
    <n v="75.099999999999994"/>
    <s v="Delivered"/>
    <n v="4"/>
    <n v="1"/>
    <s v="No"/>
    <x v="1"/>
  </r>
  <r>
    <x v="2"/>
    <d v="2025-08-27T00:00:00"/>
    <x v="0"/>
    <x v="1"/>
    <x v="2"/>
    <s v="Skincare Set"/>
    <n v="4"/>
    <n v="111.37"/>
    <n v="0"/>
    <x v="2"/>
    <n v="217.15"/>
    <s v="Delivered"/>
    <n v="8"/>
    <n v="4"/>
    <s v="No"/>
    <x v="2"/>
  </r>
  <r>
    <x v="3"/>
    <d v="2025-06-10T00:00:00"/>
    <x v="2"/>
    <x v="0"/>
    <x v="2"/>
    <s v="Face Cleanser"/>
    <n v="4"/>
    <n v="41.48"/>
    <n v="0"/>
    <x v="3"/>
    <n v="75.8"/>
    <s v="Cancelled"/>
    <m/>
    <m/>
    <s v="No"/>
    <x v="2"/>
  </r>
  <r>
    <x v="4"/>
    <d v="2025-06-08T00:00:00"/>
    <x v="3"/>
    <x v="2"/>
    <x v="2"/>
    <s v="Face Cleanser"/>
    <n v="4"/>
    <n v="45.93"/>
    <n v="0.15"/>
    <x v="4"/>
    <n v="70.989999999999995"/>
    <s v="Delivered"/>
    <n v="3"/>
    <n v="5"/>
    <s v="No"/>
    <x v="2"/>
  </r>
  <r>
    <x v="5"/>
    <d v="2025-11-10T00:00:00"/>
    <x v="1"/>
    <x v="0"/>
    <x v="2"/>
    <s v="Face Cleanser"/>
    <n v="3"/>
    <n v="47.21"/>
    <n v="0"/>
    <x v="5"/>
    <n v="56.74"/>
    <s v="Delivered"/>
    <n v="4"/>
    <n v="3"/>
    <s v="No"/>
    <x v="2"/>
  </r>
  <r>
    <x v="6"/>
    <d v="2025-02-01T00:00:00"/>
    <x v="2"/>
    <x v="0"/>
    <x v="3"/>
    <s v="Wireless Headphones"/>
    <n v="5"/>
    <n v="167.18"/>
    <n v="0"/>
    <x v="6"/>
    <n v="506.99"/>
    <s v="Processing"/>
    <m/>
    <m/>
    <s v="No"/>
    <x v="3"/>
  </r>
  <r>
    <x v="7"/>
    <d v="2025-09-12T00:00:00"/>
    <x v="1"/>
    <x v="2"/>
    <x v="3"/>
    <s v="Wireless Headphones"/>
    <n v="3"/>
    <n v="168.29"/>
    <n v="0"/>
    <x v="7"/>
    <n v="264.63"/>
    <s v="Delivered"/>
    <n v="7"/>
    <n v="2"/>
    <s v="No"/>
    <x v="3"/>
  </r>
  <r>
    <x v="8"/>
    <d v="2025-03-15T00:00:00"/>
    <x v="0"/>
    <x v="0"/>
    <x v="1"/>
    <s v="Water Bottle"/>
    <n v="3"/>
    <n v="42.81"/>
    <n v="0.15"/>
    <x v="8"/>
    <n v="38.93"/>
    <s v="Delivered"/>
    <n v="2"/>
    <n v="4"/>
    <s v="No"/>
    <x v="1"/>
  </r>
  <r>
    <x v="9"/>
    <d v="2025-02-04T00:00:00"/>
    <x v="2"/>
    <x v="0"/>
    <x v="1"/>
    <s v="Storage Box Set"/>
    <n v="2"/>
    <n v="55.26"/>
    <n v="0.05"/>
    <x v="9"/>
    <n v="41.2"/>
    <s v="Delivered"/>
    <n v="4"/>
    <n v="5"/>
    <s v="No"/>
    <x v="1"/>
  </r>
  <r>
    <x v="10"/>
    <d v="2025-07-12T00:00:00"/>
    <x v="2"/>
    <x v="1"/>
    <x v="3"/>
    <s v="USB-C Hub"/>
    <n v="5"/>
    <n v="104.11"/>
    <n v="0.15"/>
    <x v="10"/>
    <n v="251.6"/>
    <s v="Processing"/>
    <m/>
    <m/>
    <s v="No"/>
    <x v="3"/>
  </r>
  <r>
    <x v="11"/>
    <d v="2025-12-23T00:00:00"/>
    <x v="0"/>
    <x v="2"/>
    <x v="3"/>
    <s v="USB-C Hub"/>
    <n v="5"/>
    <n v="101.79"/>
    <n v="0.05"/>
    <x v="11"/>
    <n v="238.57"/>
    <s v="Delivered"/>
    <n v="2"/>
    <n v="2"/>
    <s v="No"/>
    <x v="3"/>
  </r>
  <r>
    <x v="12"/>
    <d v="2025-09-26T00:00:00"/>
    <x v="1"/>
    <x v="0"/>
    <x v="3"/>
    <s v="Smart Watch"/>
    <n v="3"/>
    <n v="302.88"/>
    <n v="0.05"/>
    <x v="12"/>
    <n v="557.91999999999996"/>
    <s v="Delivered"/>
    <n v="3"/>
    <n v="1"/>
    <s v="No"/>
    <x v="3"/>
  </r>
  <r>
    <x v="13"/>
    <d v="2025-10-05T00:00:00"/>
    <x v="0"/>
    <x v="1"/>
    <x v="1"/>
    <s v="Water Bottle"/>
    <n v="4"/>
    <n v="39.85"/>
    <n v="0.15"/>
    <x v="13"/>
    <n v="54.46"/>
    <s v="Returned"/>
    <n v="4"/>
    <n v="4"/>
    <s v="Yes"/>
    <x v="1"/>
  </r>
  <r>
    <x v="14"/>
    <d v="2025-09-19T00:00:00"/>
    <x v="1"/>
    <x v="1"/>
    <x v="4"/>
    <s v="Snack Bundle"/>
    <n v="3"/>
    <n v="33.520000000000003"/>
    <n v="0.1"/>
    <x v="14"/>
    <n v="52.92"/>
    <s v="Delivered"/>
    <n v="2"/>
    <n v="5"/>
    <s v="No"/>
    <x v="4"/>
  </r>
  <r>
    <x v="15"/>
    <d v="2025-10-14T00:00:00"/>
    <x v="0"/>
    <x v="1"/>
    <x v="0"/>
    <s v="Running Shoes"/>
    <n v="4"/>
    <n v="220.06"/>
    <n v="0.1"/>
    <x v="15"/>
    <n v="556.27"/>
    <s v="Delivered"/>
    <n v="2"/>
    <n v="5"/>
    <s v="No"/>
    <x v="0"/>
  </r>
  <r>
    <x v="16"/>
    <d v="2025-07-07T00:00:00"/>
    <x v="0"/>
    <x v="2"/>
    <x v="0"/>
    <s v="Backpack"/>
    <n v="4"/>
    <n v="119.81"/>
    <n v="0.1"/>
    <x v="16"/>
    <n v="199.79"/>
    <s v="Cancelled"/>
    <m/>
    <m/>
    <s v="No"/>
    <x v="0"/>
  </r>
  <r>
    <x v="17"/>
    <d v="2025-02-16T00:00:00"/>
    <x v="0"/>
    <x v="1"/>
    <x v="3"/>
    <s v="Smart Watch"/>
    <n v="1"/>
    <n v="317.82"/>
    <n v="0.1"/>
    <x v="17"/>
    <n v="190.69"/>
    <s v="Delivered"/>
    <n v="5"/>
    <n v="3"/>
    <s v="No"/>
    <x v="3"/>
  </r>
  <r>
    <x v="18"/>
    <d v="2025-11-03T00:00:00"/>
    <x v="1"/>
    <x v="1"/>
    <x v="0"/>
    <s v="Running Shoes"/>
    <n v="5"/>
    <n v="221.62"/>
    <n v="0"/>
    <x v="18"/>
    <n v="607.12"/>
    <s v="Delivered"/>
    <n v="6"/>
    <n v="2"/>
    <s v="No"/>
    <x v="0"/>
  </r>
  <r>
    <x v="19"/>
    <d v="2025-06-14T00:00:00"/>
    <x v="4"/>
    <x v="0"/>
    <x v="1"/>
    <s v="Water Bottle"/>
    <n v="4"/>
    <n v="38.159999999999997"/>
    <n v="0.1"/>
    <x v="19"/>
    <n v="54.78"/>
    <s v="Returned"/>
    <n v="8"/>
    <n v="1"/>
    <s v="Yes"/>
    <x v="1"/>
  </r>
  <r>
    <x v="20"/>
    <d v="2025-07-02T00:00:00"/>
    <x v="2"/>
    <x v="0"/>
    <x v="4"/>
    <s v="Snack Bundle"/>
    <n v="3"/>
    <n v="36.61"/>
    <n v="0.05"/>
    <x v="20"/>
    <n v="51.43"/>
    <s v="Returned"/>
    <n v="8"/>
    <n v="1"/>
    <s v="Yes"/>
    <x v="4"/>
  </r>
  <r>
    <x v="21"/>
    <d v="2025-05-16T00:00:00"/>
    <x v="0"/>
    <x v="0"/>
    <x v="4"/>
    <s v="Snack Bundle"/>
    <n v="1"/>
    <n v="32.33"/>
    <n v="0.2"/>
    <x v="21"/>
    <n v="17.95"/>
    <s v="Cancelled"/>
    <m/>
    <m/>
    <s v="No"/>
    <x v="4"/>
  </r>
  <r>
    <x v="22"/>
    <d v="2025-03-08T00:00:00"/>
    <x v="0"/>
    <x v="0"/>
    <x v="0"/>
    <s v="Running Shoes"/>
    <n v="4"/>
    <n v="237.81"/>
    <n v="0"/>
    <x v="22"/>
    <n v="547.07000000000005"/>
    <s v="Delivered"/>
    <n v="3"/>
    <n v="1"/>
    <s v="No"/>
    <x v="0"/>
  </r>
  <r>
    <x v="23"/>
    <d v="2025-12-05T00:00:00"/>
    <x v="2"/>
    <x v="1"/>
    <x v="4"/>
    <s v="Coffee Beans"/>
    <n v="4"/>
    <n v="71.459999999999994"/>
    <n v="0"/>
    <x v="23"/>
    <n v="144.25"/>
    <s v="Cancelled"/>
    <m/>
    <m/>
    <s v="No"/>
    <x v="4"/>
  </r>
  <r>
    <x v="24"/>
    <d v="2025-10-13T00:00:00"/>
    <x v="1"/>
    <x v="0"/>
    <x v="3"/>
    <s v="Smart Watch"/>
    <n v="5"/>
    <n v="329.61"/>
    <n v="0.1"/>
    <x v="24"/>
    <n v="887.75"/>
    <s v="Processing"/>
    <m/>
    <m/>
    <s v="No"/>
    <x v="3"/>
  </r>
  <r>
    <x v="25"/>
    <d v="2025-08-24T00:00:00"/>
    <x v="3"/>
    <x v="0"/>
    <x v="3"/>
    <s v="USB-C Hub"/>
    <n v="5"/>
    <n v="102.8"/>
    <n v="0"/>
    <x v="25"/>
    <n v="246"/>
    <s v="Cancelled"/>
    <m/>
    <m/>
    <s v="No"/>
    <x v="3"/>
  </r>
  <r>
    <x v="26"/>
    <d v="2025-05-27T00:00:00"/>
    <x v="2"/>
    <x v="1"/>
    <x v="3"/>
    <s v="USB-C Hub"/>
    <n v="4"/>
    <n v="90.03"/>
    <n v="0.15"/>
    <x v="26"/>
    <n v="202.73"/>
    <s v="Delivered"/>
    <n v="1"/>
    <n v="1"/>
    <s v="No"/>
    <x v="3"/>
  </r>
  <r>
    <x v="27"/>
    <d v="2025-10-28T00:00:00"/>
    <x v="2"/>
    <x v="2"/>
    <x v="0"/>
    <s v="Cotton T-Shirt"/>
    <n v="5"/>
    <n v="47.02"/>
    <n v="0"/>
    <x v="27"/>
    <n v="94"/>
    <s v="Cancelled"/>
    <m/>
    <m/>
    <s v="No"/>
    <x v="0"/>
  </r>
  <r>
    <x v="28"/>
    <d v="2025-07-19T00:00:00"/>
    <x v="2"/>
    <x v="1"/>
    <x v="0"/>
    <s v="Running Shoes"/>
    <n v="5"/>
    <n v="251.26"/>
    <n v="0"/>
    <x v="28"/>
    <n v="618.08000000000004"/>
    <s v="Delivered"/>
    <n v="3"/>
    <n v="4"/>
    <s v="No"/>
    <x v="0"/>
  </r>
  <r>
    <x v="29"/>
    <d v="2025-06-11T00:00:00"/>
    <x v="0"/>
    <x v="0"/>
    <x v="3"/>
    <s v="Smart Watch"/>
    <n v="1"/>
    <n v="344.59"/>
    <n v="0"/>
    <x v="29"/>
    <n v="196.37"/>
    <s v="Processing"/>
    <m/>
    <m/>
    <s v="No"/>
    <x v="3"/>
  </r>
  <r>
    <x v="30"/>
    <d v="2025-06-14T00:00:00"/>
    <x v="3"/>
    <x v="1"/>
    <x v="3"/>
    <s v="Smart Watch"/>
    <n v="5"/>
    <n v="338.18"/>
    <n v="0.05"/>
    <x v="30"/>
    <n v="970.73"/>
    <s v="Returned"/>
    <n v="5"/>
    <n v="3"/>
    <s v="Yes"/>
    <x v="3"/>
  </r>
  <r>
    <x v="31"/>
    <d v="2025-03-24T00:00:00"/>
    <x v="0"/>
    <x v="0"/>
    <x v="2"/>
    <s v="Skincare Set"/>
    <n v="3"/>
    <n v="130.57"/>
    <n v="0.1"/>
    <x v="31"/>
    <n v="155.72"/>
    <s v="Processing"/>
    <m/>
    <m/>
    <s v="No"/>
    <x v="2"/>
  </r>
  <r>
    <x v="32"/>
    <d v="2025-02-03T00:00:00"/>
    <x v="0"/>
    <x v="2"/>
    <x v="2"/>
    <s v="Skincare Set"/>
    <n v="1"/>
    <n v="114.67"/>
    <n v="0"/>
    <x v="32"/>
    <n v="53.28"/>
    <s v="Processing"/>
    <m/>
    <m/>
    <s v="No"/>
    <x v="2"/>
  </r>
  <r>
    <x v="33"/>
    <d v="2025-07-22T00:00:00"/>
    <x v="1"/>
    <x v="0"/>
    <x v="1"/>
    <s v="Storage Box Set"/>
    <n v="1"/>
    <n v="55.97"/>
    <n v="0"/>
    <x v="33"/>
    <n v="21.36"/>
    <s v="Delivered"/>
    <n v="4"/>
    <n v="3"/>
    <s v="No"/>
    <x v="1"/>
  </r>
  <r>
    <x v="34"/>
    <d v="2025-11-21T00:00:00"/>
    <x v="3"/>
    <x v="1"/>
    <x v="1"/>
    <s v="Desk Lamp"/>
    <n v="3"/>
    <n v="78.03"/>
    <n v="0.1"/>
    <x v="34"/>
    <n v="98.27"/>
    <s v="Processing"/>
    <m/>
    <m/>
    <s v="No"/>
    <x v="1"/>
  </r>
  <r>
    <x v="35"/>
    <d v="2025-01-24T00:00:00"/>
    <x v="3"/>
    <x v="1"/>
    <x v="2"/>
    <s v="Hair Dryer"/>
    <n v="1"/>
    <n v="145.82"/>
    <n v="0.1"/>
    <x v="35"/>
    <n v="78.16"/>
    <s v="Delivered"/>
    <n v="2"/>
    <n v="5"/>
    <s v="No"/>
    <x v="2"/>
  </r>
  <r>
    <x v="36"/>
    <d v="2025-11-10T00:00:00"/>
    <x v="0"/>
    <x v="0"/>
    <x v="2"/>
    <s v="Face Cleanser"/>
    <n v="3"/>
    <n v="43.33"/>
    <n v="0.1"/>
    <x v="36"/>
    <n v="56.91"/>
    <s v="Delivered"/>
    <n v="4"/>
    <n v="5"/>
    <s v="No"/>
    <x v="2"/>
  </r>
  <r>
    <x v="37"/>
    <d v="2025-10-30T00:00:00"/>
    <x v="3"/>
    <x v="0"/>
    <x v="3"/>
    <s v="USB-C Hub"/>
    <n v="1"/>
    <n v="88.79"/>
    <n v="0"/>
    <x v="37"/>
    <n v="46.57"/>
    <s v="Delivered"/>
    <n v="4"/>
    <n v="5"/>
    <s v="No"/>
    <x v="3"/>
  </r>
  <r>
    <x v="38"/>
    <d v="2025-04-12T00:00:00"/>
    <x v="2"/>
    <x v="1"/>
    <x v="4"/>
    <s v="Snack Bundle"/>
    <n v="2"/>
    <n v="35.71"/>
    <n v="0"/>
    <x v="38"/>
    <n v="31.93"/>
    <s v="Delivered"/>
    <n v="3"/>
    <n v="3"/>
    <s v="No"/>
    <x v="4"/>
  </r>
  <r>
    <x v="39"/>
    <d v="2025-08-19T00:00:00"/>
    <x v="2"/>
    <x v="0"/>
    <x v="1"/>
    <s v="Water Bottle"/>
    <n v="4"/>
    <n v="39.1"/>
    <n v="0.1"/>
    <x v="39"/>
    <n v="57.26"/>
    <s v="Processing"/>
    <m/>
    <m/>
    <s v="No"/>
    <x v="1"/>
  </r>
  <r>
    <x v="40"/>
    <d v="2025-03-02T00:00:00"/>
    <x v="2"/>
    <x v="1"/>
    <x v="2"/>
    <s v="Hair Dryer"/>
    <n v="1"/>
    <n v="160.09"/>
    <n v="0"/>
    <x v="40"/>
    <n v="84.1"/>
    <s v="Returned"/>
    <n v="5"/>
    <n v="4"/>
    <s v="Yes"/>
    <x v="2"/>
  </r>
  <r>
    <x v="41"/>
    <d v="2025-10-04T00:00:00"/>
    <x v="0"/>
    <x v="0"/>
    <x v="2"/>
    <s v="Skincare Set"/>
    <n v="5"/>
    <n v="126.13"/>
    <n v="0"/>
    <x v="41"/>
    <n v="272.08999999999997"/>
    <s v="Delivered"/>
    <n v="3"/>
    <n v="1"/>
    <s v="No"/>
    <x v="2"/>
  </r>
  <r>
    <x v="42"/>
    <d v="2025-09-13T00:00:00"/>
    <x v="2"/>
    <x v="0"/>
    <x v="4"/>
    <s v="Olive Oil"/>
    <n v="1"/>
    <n v="46"/>
    <n v="0"/>
    <x v="42"/>
    <n v="26.96"/>
    <s v="Returned"/>
    <n v="5"/>
    <n v="2"/>
    <s v="Yes"/>
    <x v="4"/>
  </r>
  <r>
    <x v="43"/>
    <d v="2025-05-10T00:00:00"/>
    <x v="1"/>
    <x v="0"/>
    <x v="4"/>
    <s v="Coffee Beans"/>
    <n v="5"/>
    <n v="67.209999999999994"/>
    <n v="0.1"/>
    <x v="43"/>
    <n v="177.15"/>
    <s v="Processing"/>
    <m/>
    <m/>
    <s v="No"/>
    <x v="4"/>
  </r>
  <r>
    <x v="44"/>
    <d v="2025-01-25T00:00:00"/>
    <x v="2"/>
    <x v="1"/>
    <x v="2"/>
    <s v="Face Cleanser"/>
    <n v="2"/>
    <n v="44.84"/>
    <n v="0.15"/>
    <x v="44"/>
    <n v="37.549999999999997"/>
    <s v="Processing"/>
    <m/>
    <m/>
    <s v="No"/>
    <x v="2"/>
  </r>
  <r>
    <x v="45"/>
    <d v="2025-12-21T00:00:00"/>
    <x v="0"/>
    <x v="0"/>
    <x v="0"/>
    <s v="Cotton T-Shirt"/>
    <n v="1"/>
    <n v="49.99"/>
    <n v="0"/>
    <x v="45"/>
    <n v="20.100000000000001"/>
    <s v="Cancelled"/>
    <m/>
    <m/>
    <s v="No"/>
    <x v="0"/>
  </r>
  <r>
    <x v="46"/>
    <d v="2025-06-12T00:00:00"/>
    <x v="1"/>
    <x v="0"/>
    <x v="4"/>
    <s v="Snack Bundle"/>
    <n v="4"/>
    <n v="33.869999999999997"/>
    <n v="0"/>
    <x v="46"/>
    <n v="64.64"/>
    <s v="Delivered"/>
    <n v="1"/>
    <n v="3"/>
    <s v="No"/>
    <x v="4"/>
  </r>
  <r>
    <x v="47"/>
    <d v="2025-11-22T00:00:00"/>
    <x v="0"/>
    <x v="2"/>
    <x v="0"/>
    <s v="Running Shoes"/>
    <n v="3"/>
    <n v="249.75"/>
    <n v="0"/>
    <x v="47"/>
    <n v="398.35"/>
    <s v="Delivered"/>
    <n v="8"/>
    <n v="3"/>
    <s v="No"/>
    <x v="0"/>
  </r>
  <r>
    <x v="48"/>
    <d v="2025-09-05T00:00:00"/>
    <x v="3"/>
    <x v="2"/>
    <x v="0"/>
    <s v="Backpack"/>
    <n v="5"/>
    <n v="120.19"/>
    <n v="0.1"/>
    <x v="48"/>
    <n v="271.73"/>
    <s v="Delivered"/>
    <n v="7"/>
    <n v="5"/>
    <s v="No"/>
    <x v="0"/>
  </r>
  <r>
    <x v="49"/>
    <d v="2025-10-12T00:00:00"/>
    <x v="0"/>
    <x v="2"/>
    <x v="2"/>
    <s v="Hair Dryer"/>
    <n v="5"/>
    <n v="164.54"/>
    <n v="0.2"/>
    <x v="49"/>
    <n v="376.79"/>
    <s v="Processing"/>
    <m/>
    <m/>
    <s v="No"/>
    <x v="2"/>
  </r>
  <r>
    <x v="50"/>
    <d v="2025-10-05T00:00:00"/>
    <x v="1"/>
    <x v="1"/>
    <x v="1"/>
    <s v="Desk Lamp"/>
    <n v="1"/>
    <n v="79.16"/>
    <n v="0"/>
    <x v="50"/>
    <n v="31.95"/>
    <s v="Returned"/>
    <n v="8"/>
    <n v="2"/>
    <s v="Yes"/>
    <x v="1"/>
  </r>
  <r>
    <x v="51"/>
    <d v="2025-03-13T00:00:00"/>
    <x v="0"/>
    <x v="0"/>
    <x v="0"/>
    <s v="Backpack"/>
    <n v="4"/>
    <n v="116.65"/>
    <n v="0.1"/>
    <x v="51"/>
    <n v="222.13"/>
    <s v="Delivered"/>
    <n v="1"/>
    <n v="2"/>
    <s v="No"/>
    <x v="0"/>
  </r>
  <r>
    <x v="52"/>
    <d v="2025-05-13T00:00:00"/>
    <x v="0"/>
    <x v="1"/>
    <x v="3"/>
    <s v="Smart Watch"/>
    <n v="1"/>
    <n v="333.65"/>
    <n v="0.1"/>
    <x v="52"/>
    <n v="198.32"/>
    <s v="Delivered"/>
    <n v="7"/>
    <n v="2"/>
    <s v="No"/>
    <x v="3"/>
  </r>
  <r>
    <x v="53"/>
    <d v="2025-06-20T00:00:00"/>
    <x v="0"/>
    <x v="0"/>
    <x v="1"/>
    <s v="Desk Lamp"/>
    <n v="1"/>
    <n v="67.569999999999993"/>
    <n v="0.15"/>
    <x v="53"/>
    <n v="32.07"/>
    <s v="Processing"/>
    <m/>
    <m/>
    <s v="No"/>
    <x v="1"/>
  </r>
  <r>
    <x v="54"/>
    <d v="2025-07-01T00:00:00"/>
    <x v="3"/>
    <x v="0"/>
    <x v="1"/>
    <s v="Water Bottle"/>
    <n v="5"/>
    <n v="37.9"/>
    <n v="0.1"/>
    <x v="54"/>
    <n v="73.95"/>
    <s v="Delivered"/>
    <n v="3"/>
    <n v="4"/>
    <s v="No"/>
    <x v="1"/>
  </r>
  <r>
    <x v="55"/>
    <d v="2025-01-16T00:00:00"/>
    <x v="0"/>
    <x v="2"/>
    <x v="1"/>
    <s v="Storage Box Set"/>
    <n v="1"/>
    <n v="51.56"/>
    <n v="0.15"/>
    <x v="55"/>
    <n v="20.54"/>
    <s v="Delivered"/>
    <n v="4"/>
    <n v="5"/>
    <s v="No"/>
    <x v="1"/>
  </r>
  <r>
    <x v="56"/>
    <d v="2025-07-19T00:00:00"/>
    <x v="2"/>
    <x v="2"/>
    <x v="4"/>
    <s v="Snack Bundle"/>
    <n v="2"/>
    <n v="32.46"/>
    <n v="0.05"/>
    <x v="56"/>
    <n v="34.409999999999997"/>
    <s v="Delivered"/>
    <n v="8"/>
    <n v="1"/>
    <s v="No"/>
    <x v="4"/>
  </r>
  <r>
    <x v="57"/>
    <d v="2025-02-26T00:00:00"/>
    <x v="2"/>
    <x v="0"/>
    <x v="4"/>
    <s v="Snack Bundle"/>
    <n v="2"/>
    <n v="34.06"/>
    <n v="0"/>
    <x v="57"/>
    <n v="31.65"/>
    <s v="Delivered"/>
    <n v="3"/>
    <n v="3"/>
    <s v="No"/>
    <x v="4"/>
  </r>
  <r>
    <x v="58"/>
    <d v="2025-09-29T00:00:00"/>
    <x v="3"/>
    <x v="1"/>
    <x v="0"/>
    <s v="Cotton T-Shirt"/>
    <n v="2"/>
    <n v="54.59"/>
    <n v="0.05"/>
    <x v="58"/>
    <n v="41.61"/>
    <s v="Delivered"/>
    <n v="5"/>
    <n v="2"/>
    <s v="No"/>
    <x v="0"/>
  </r>
  <r>
    <x v="59"/>
    <d v="2025-09-07T00:00:00"/>
    <x v="4"/>
    <x v="0"/>
    <x v="1"/>
    <s v="Desk Lamp"/>
    <n v="5"/>
    <n v="78.63"/>
    <n v="0.05"/>
    <x v="59"/>
    <n v="162.32"/>
    <s v="Returned"/>
    <n v="7"/>
    <n v="2"/>
    <s v="Yes"/>
    <x v="1"/>
  </r>
  <r>
    <x v="60"/>
    <d v="2025-12-03T00:00:00"/>
    <x v="3"/>
    <x v="0"/>
    <x v="1"/>
    <s v="Desk Lamp"/>
    <n v="1"/>
    <n v="71.75"/>
    <n v="0.15"/>
    <x v="60"/>
    <n v="32.31"/>
    <s v="Delivered"/>
    <n v="7"/>
    <n v="5"/>
    <s v="No"/>
    <x v="1"/>
  </r>
  <r>
    <x v="61"/>
    <d v="2025-09-29T00:00:00"/>
    <x v="2"/>
    <x v="2"/>
    <x v="4"/>
    <s v="Snack Bundle"/>
    <n v="3"/>
    <n v="37.82"/>
    <n v="0.15"/>
    <x v="61"/>
    <n v="53.35"/>
    <s v="Processing"/>
    <m/>
    <m/>
    <s v="No"/>
    <x v="4"/>
  </r>
  <r>
    <x v="62"/>
    <d v="2025-05-14T00:00:00"/>
    <x v="2"/>
    <x v="0"/>
    <x v="3"/>
    <s v="Smart Watch"/>
    <n v="4"/>
    <n v="320.81"/>
    <n v="0.2"/>
    <x v="62"/>
    <n v="751.85"/>
    <s v="Delivered"/>
    <n v="1"/>
    <n v="2"/>
    <s v="No"/>
    <x v="3"/>
  </r>
  <r>
    <x v="63"/>
    <d v="2025-12-20T00:00:00"/>
    <x v="0"/>
    <x v="0"/>
    <x v="1"/>
    <s v="Desk Lamp"/>
    <n v="3"/>
    <n v="75.239999999999995"/>
    <n v="0.05"/>
    <x v="63"/>
    <n v="93.12"/>
    <s v="Delivered"/>
    <n v="6"/>
    <n v="2"/>
    <s v="No"/>
    <x v="1"/>
  </r>
  <r>
    <x v="64"/>
    <d v="2025-05-30T00:00:00"/>
    <x v="2"/>
    <x v="0"/>
    <x v="3"/>
    <s v="USB-C Hub"/>
    <n v="4"/>
    <n v="91.24"/>
    <n v="0"/>
    <x v="64"/>
    <n v="188.75"/>
    <s v="Delivered"/>
    <n v="4"/>
    <n v="3"/>
    <s v="No"/>
    <x v="3"/>
  </r>
  <r>
    <x v="65"/>
    <d v="2025-04-29T00:00:00"/>
    <x v="0"/>
    <x v="1"/>
    <x v="3"/>
    <s v="USB-C Hub"/>
    <n v="1"/>
    <n v="91.83"/>
    <n v="0.05"/>
    <x v="65"/>
    <n v="47.47"/>
    <s v="Delivered"/>
    <n v="5"/>
    <n v="2"/>
    <s v="No"/>
    <x v="3"/>
  </r>
  <r>
    <x v="66"/>
    <d v="2025-11-27T00:00:00"/>
    <x v="1"/>
    <x v="0"/>
    <x v="1"/>
    <s v="Storage Box Set"/>
    <n v="2"/>
    <n v="57.02"/>
    <n v="0.05"/>
    <x v="66"/>
    <n v="42.09"/>
    <s v="Cancelled"/>
    <m/>
    <m/>
    <s v="No"/>
    <x v="1"/>
  </r>
  <r>
    <x v="67"/>
    <d v="2025-05-16T00:00:00"/>
    <x v="4"/>
    <x v="0"/>
    <x v="2"/>
    <s v="Skincare Set"/>
    <n v="5"/>
    <n v="109.14"/>
    <n v="0"/>
    <x v="67"/>
    <n v="259.08"/>
    <s v="Processing"/>
    <m/>
    <m/>
    <s v="No"/>
    <x v="2"/>
  </r>
  <r>
    <x v="68"/>
    <d v="2025-01-28T00:00:00"/>
    <x v="1"/>
    <x v="1"/>
    <x v="3"/>
    <s v="USB-C Hub"/>
    <n v="1"/>
    <n v="97.28"/>
    <n v="0"/>
    <x v="68"/>
    <n v="46.02"/>
    <s v="Delivered"/>
    <n v="5"/>
    <n v="3"/>
    <s v="No"/>
    <x v="3"/>
  </r>
  <r>
    <x v="69"/>
    <d v="2025-06-21T00:00:00"/>
    <x v="0"/>
    <x v="1"/>
    <x v="4"/>
    <s v="Coffee Beans"/>
    <n v="3"/>
    <n v="68.55"/>
    <n v="0"/>
    <x v="69"/>
    <n v="107.8"/>
    <s v="Processing"/>
    <m/>
    <m/>
    <s v="No"/>
    <x v="4"/>
  </r>
  <r>
    <x v="70"/>
    <d v="2025-10-18T00:00:00"/>
    <x v="3"/>
    <x v="2"/>
    <x v="2"/>
    <s v="Face Cleanser"/>
    <n v="4"/>
    <n v="43.75"/>
    <n v="0.2"/>
    <x v="70"/>
    <n v="75.61"/>
    <s v="Delivered"/>
    <n v="3"/>
    <n v="2"/>
    <s v="No"/>
    <x v="2"/>
  </r>
  <r>
    <x v="71"/>
    <d v="2025-03-11T00:00:00"/>
    <x v="3"/>
    <x v="0"/>
    <x v="1"/>
    <s v="Desk Lamp"/>
    <n v="4"/>
    <n v="67.95"/>
    <n v="0"/>
    <x v="71"/>
    <n v="124.86"/>
    <s v="Delivered"/>
    <n v="6"/>
    <n v="4"/>
    <s v="No"/>
    <x v="1"/>
  </r>
  <r>
    <x v="72"/>
    <d v="2025-06-18T00:00:00"/>
    <x v="2"/>
    <x v="2"/>
    <x v="0"/>
    <s v="Running Shoes"/>
    <n v="4"/>
    <n v="258.72000000000003"/>
    <n v="0"/>
    <x v="72"/>
    <n v="527.80999999999995"/>
    <s v="Delivered"/>
    <n v="2"/>
    <n v="1"/>
    <s v="No"/>
    <x v="0"/>
  </r>
  <r>
    <x v="73"/>
    <d v="2025-02-17T00:00:00"/>
    <x v="0"/>
    <x v="0"/>
    <x v="2"/>
    <s v="Skincare Set"/>
    <n v="1"/>
    <n v="108.4"/>
    <n v="0"/>
    <x v="73"/>
    <n v="59.34"/>
    <s v="Returned"/>
    <n v="5"/>
    <n v="5"/>
    <s v="Yes"/>
    <x v="2"/>
  </r>
  <r>
    <x v="74"/>
    <d v="2025-09-08T00:00:00"/>
    <x v="0"/>
    <x v="2"/>
    <x v="4"/>
    <s v="Snack Bundle"/>
    <n v="3"/>
    <n v="33.409999999999997"/>
    <n v="0.1"/>
    <x v="74"/>
    <n v="47.33"/>
    <s v="Delivered"/>
    <n v="5"/>
    <n v="5"/>
    <s v="No"/>
    <x v="4"/>
  </r>
  <r>
    <x v="75"/>
    <d v="2025-06-23T00:00:00"/>
    <x v="2"/>
    <x v="2"/>
    <x v="3"/>
    <s v="USB-C Hub"/>
    <n v="1"/>
    <n v="102.1"/>
    <n v="0"/>
    <x v="75"/>
    <n v="46.11"/>
    <s v="Processing"/>
    <m/>
    <m/>
    <s v="No"/>
    <x v="3"/>
  </r>
  <r>
    <x v="76"/>
    <d v="2025-05-01T00:00:00"/>
    <x v="3"/>
    <x v="2"/>
    <x v="1"/>
    <s v="Water Bottle"/>
    <n v="4"/>
    <n v="40.54"/>
    <n v="0.1"/>
    <x v="76"/>
    <n v="58.32"/>
    <s v="Cancelled"/>
    <m/>
    <m/>
    <s v="No"/>
    <x v="1"/>
  </r>
  <r>
    <x v="77"/>
    <d v="2025-03-24T00:00:00"/>
    <x v="1"/>
    <x v="0"/>
    <x v="3"/>
    <s v="USB-C Hub"/>
    <n v="1"/>
    <n v="93.25"/>
    <n v="0.05"/>
    <x v="77"/>
    <n v="44.88"/>
    <s v="Cancelled"/>
    <m/>
    <m/>
    <s v="No"/>
    <x v="3"/>
  </r>
  <r>
    <x v="78"/>
    <d v="2025-07-26T00:00:00"/>
    <x v="0"/>
    <x v="0"/>
    <x v="0"/>
    <s v="Backpack"/>
    <n v="1"/>
    <n v="102.93"/>
    <n v="0.2"/>
    <x v="78"/>
    <n v="49.5"/>
    <s v="Returned"/>
    <n v="7"/>
    <n v="2"/>
    <s v="Yes"/>
    <x v="0"/>
  </r>
  <r>
    <x v="79"/>
    <d v="2025-09-02T00:00:00"/>
    <x v="1"/>
    <x v="1"/>
    <x v="0"/>
    <s v="Backpack"/>
    <n v="4"/>
    <n v="110.37"/>
    <n v="0.05"/>
    <x v="79"/>
    <n v="216.04"/>
    <s v="Returned"/>
    <n v="8"/>
    <n v="3"/>
    <s v="Yes"/>
    <x v="0"/>
  </r>
  <r>
    <x v="80"/>
    <d v="2025-12-10T00:00:00"/>
    <x v="0"/>
    <x v="0"/>
    <x v="3"/>
    <s v="USB-C Hub"/>
    <n v="5"/>
    <n v="100.66"/>
    <n v="0.15"/>
    <x v="80"/>
    <n v="224.63"/>
    <s v="Delivered"/>
    <n v="2"/>
    <n v="2"/>
    <s v="No"/>
    <x v="3"/>
  </r>
  <r>
    <x v="81"/>
    <d v="2025-06-09T00:00:00"/>
    <x v="4"/>
    <x v="2"/>
    <x v="1"/>
    <s v="Water Bottle"/>
    <n v="5"/>
    <n v="39.159999999999997"/>
    <n v="0.15"/>
    <x v="81"/>
    <n v="67.97"/>
    <s v="Cancelled"/>
    <m/>
    <m/>
    <s v="No"/>
    <x v="1"/>
  </r>
  <r>
    <x v="82"/>
    <d v="2025-02-28T00:00:00"/>
    <x v="1"/>
    <x v="0"/>
    <x v="1"/>
    <s v="Desk Lamp"/>
    <n v="4"/>
    <n v="74.510000000000005"/>
    <n v="0.15"/>
    <x v="82"/>
    <n v="121.79"/>
    <s v="Delivered"/>
    <n v="4"/>
    <n v="2"/>
    <s v="No"/>
    <x v="1"/>
  </r>
  <r>
    <x v="83"/>
    <d v="2025-10-31T00:00:00"/>
    <x v="2"/>
    <x v="1"/>
    <x v="0"/>
    <s v="Running Shoes"/>
    <n v="1"/>
    <n v="227.69"/>
    <n v="0.2"/>
    <x v="83"/>
    <n v="121.66"/>
    <s v="Delivered"/>
    <n v="3"/>
    <n v="2"/>
    <s v="No"/>
    <x v="0"/>
  </r>
  <r>
    <x v="84"/>
    <d v="2025-08-18T00:00:00"/>
    <x v="0"/>
    <x v="1"/>
    <x v="3"/>
    <s v="USB-C Hub"/>
    <n v="1"/>
    <n v="94.4"/>
    <n v="0.05"/>
    <x v="84"/>
    <n v="46.15"/>
    <s v="Delivered"/>
    <n v="1"/>
    <n v="2"/>
    <s v="No"/>
    <x v="3"/>
  </r>
  <r>
    <x v="85"/>
    <d v="2025-09-13T00:00:00"/>
    <x v="1"/>
    <x v="1"/>
    <x v="2"/>
    <s v="Hair Dryer"/>
    <n v="5"/>
    <n v="143.84"/>
    <n v="0"/>
    <x v="85"/>
    <n v="406.52"/>
    <s v="Delivered"/>
    <n v="1"/>
    <n v="5"/>
    <s v="No"/>
    <x v="2"/>
  </r>
  <r>
    <x v="86"/>
    <d v="2025-02-05T00:00:00"/>
    <x v="3"/>
    <x v="1"/>
    <x v="4"/>
    <s v="Snack Bundle"/>
    <n v="5"/>
    <n v="32.46"/>
    <n v="0"/>
    <x v="86"/>
    <n v="82.34"/>
    <s v="Delivered"/>
    <n v="5"/>
    <n v="4"/>
    <s v="No"/>
    <x v="4"/>
  </r>
  <r>
    <x v="87"/>
    <d v="2025-04-25T00:00:00"/>
    <x v="2"/>
    <x v="2"/>
    <x v="2"/>
    <s v="Hair Dryer"/>
    <n v="3"/>
    <n v="139.81"/>
    <n v="0"/>
    <x v="87"/>
    <n v="247.18"/>
    <s v="Delivered"/>
    <n v="6"/>
    <n v="2"/>
    <s v="No"/>
    <x v="2"/>
  </r>
  <r>
    <x v="88"/>
    <d v="2025-10-08T00:00:00"/>
    <x v="2"/>
    <x v="1"/>
    <x v="1"/>
    <s v="Water Bottle"/>
    <n v="3"/>
    <n v="42.18"/>
    <n v="0.1"/>
    <x v="88"/>
    <n v="40.03"/>
    <s v="Processing"/>
    <m/>
    <m/>
    <s v="No"/>
    <x v="1"/>
  </r>
  <r>
    <x v="89"/>
    <d v="2025-10-31T00:00:00"/>
    <x v="3"/>
    <x v="0"/>
    <x v="3"/>
    <s v="USB-C Hub"/>
    <n v="2"/>
    <n v="88.91"/>
    <n v="0.15"/>
    <x v="89"/>
    <n v="94.67"/>
    <s v="Delivered"/>
    <n v="8"/>
    <n v="4"/>
    <s v="No"/>
    <x v="3"/>
  </r>
  <r>
    <x v="90"/>
    <d v="2025-06-08T00:00:00"/>
    <x v="0"/>
    <x v="1"/>
    <x v="4"/>
    <s v="Snack Bundle"/>
    <n v="5"/>
    <n v="35.22"/>
    <n v="0"/>
    <x v="90"/>
    <n v="81.58"/>
    <s v="Delivered"/>
    <n v="2"/>
    <n v="1"/>
    <s v="No"/>
    <x v="4"/>
  </r>
  <r>
    <x v="91"/>
    <d v="2025-10-21T00:00:00"/>
    <x v="1"/>
    <x v="0"/>
    <x v="0"/>
    <s v="Cotton T-Shirt"/>
    <n v="2"/>
    <n v="50.3"/>
    <n v="0.05"/>
    <x v="91"/>
    <n v="40.229999999999997"/>
    <s v="Delivered"/>
    <n v="3"/>
    <n v="1"/>
    <s v="No"/>
    <x v="0"/>
  </r>
  <r>
    <x v="92"/>
    <d v="2025-11-04T00:00:00"/>
    <x v="2"/>
    <x v="0"/>
    <x v="4"/>
    <s v="Coffee Beans"/>
    <n v="3"/>
    <n v="60.63"/>
    <n v="0.2"/>
    <x v="92"/>
    <n v="102.89"/>
    <s v="Returned"/>
    <n v="2"/>
    <n v="2"/>
    <s v="Yes"/>
    <x v="4"/>
  </r>
  <r>
    <x v="93"/>
    <d v="2025-05-22T00:00:00"/>
    <x v="3"/>
    <x v="0"/>
    <x v="4"/>
    <s v="Coffee Beans"/>
    <n v="1"/>
    <n v="64.55"/>
    <n v="0.1"/>
    <x v="93"/>
    <n v="33.46"/>
    <s v="Delivered"/>
    <n v="7"/>
    <n v="5"/>
    <s v="No"/>
    <x v="4"/>
  </r>
  <r>
    <x v="94"/>
    <d v="2025-11-24T00:00:00"/>
    <x v="0"/>
    <x v="0"/>
    <x v="4"/>
    <s v="Olive Oil"/>
    <n v="4"/>
    <n v="44.67"/>
    <n v="0.05"/>
    <x v="94"/>
    <n v="115.27"/>
    <s v="Processing"/>
    <m/>
    <m/>
    <s v="No"/>
    <x v="4"/>
  </r>
  <r>
    <x v="95"/>
    <d v="2025-04-16T00:00:00"/>
    <x v="4"/>
    <x v="0"/>
    <x v="0"/>
    <s v="Backpack"/>
    <n v="4"/>
    <n v="116.46"/>
    <n v="0.1"/>
    <x v="95"/>
    <n v="198.41"/>
    <s v="Processing"/>
    <m/>
    <m/>
    <s v="No"/>
    <x v="0"/>
  </r>
  <r>
    <x v="96"/>
    <d v="2025-03-29T00:00:00"/>
    <x v="2"/>
    <x v="0"/>
    <x v="0"/>
    <s v="Cotton T-Shirt"/>
    <n v="1"/>
    <n v="47.81"/>
    <n v="0.2"/>
    <x v="96"/>
    <n v="18.600000000000001"/>
    <s v="Delivered"/>
    <n v="4"/>
    <n v="4"/>
    <s v="No"/>
    <x v="0"/>
  </r>
  <r>
    <x v="97"/>
    <d v="2025-09-07T00:00:00"/>
    <x v="3"/>
    <x v="2"/>
    <x v="1"/>
    <s v="Storage Box Set"/>
    <n v="1"/>
    <n v="57.49"/>
    <n v="0"/>
    <x v="97"/>
    <n v="21.86"/>
    <s v="Returned"/>
    <n v="1"/>
    <n v="3"/>
    <s v="Yes"/>
    <x v="1"/>
  </r>
  <r>
    <x v="98"/>
    <d v="2025-08-21T00:00:00"/>
    <x v="3"/>
    <x v="1"/>
    <x v="4"/>
    <s v="Snack Bundle"/>
    <n v="2"/>
    <n v="36.25"/>
    <n v="0"/>
    <x v="98"/>
    <n v="35.880000000000003"/>
    <s v="Processing"/>
    <m/>
    <m/>
    <s v="No"/>
    <x v="4"/>
  </r>
  <r>
    <x v="99"/>
    <d v="2025-02-21T00:00:00"/>
    <x v="2"/>
    <x v="0"/>
    <x v="0"/>
    <s v="Running Shoes"/>
    <n v="2"/>
    <n v="247.68"/>
    <n v="0.05"/>
    <x v="99"/>
    <n v="251.78"/>
    <s v="Returned"/>
    <n v="6"/>
    <n v="4"/>
    <s v="Yes"/>
    <x v="0"/>
  </r>
  <r>
    <x v="100"/>
    <d v="2025-10-31T00:00:00"/>
    <x v="3"/>
    <x v="0"/>
    <x v="1"/>
    <s v="Water Bottle"/>
    <n v="3"/>
    <n v="40.07"/>
    <n v="0.1"/>
    <x v="100"/>
    <n v="44.74"/>
    <s v="Delivered"/>
    <n v="4"/>
    <n v="4"/>
    <s v="No"/>
    <x v="1"/>
  </r>
  <r>
    <x v="101"/>
    <d v="2025-03-14T00:00:00"/>
    <x v="2"/>
    <x v="0"/>
    <x v="2"/>
    <s v="Hair Dryer"/>
    <n v="2"/>
    <n v="155.02000000000001"/>
    <n v="0"/>
    <x v="101"/>
    <n v="159.88"/>
    <s v="Delivered"/>
    <n v="8"/>
    <n v="2"/>
    <s v="No"/>
    <x v="2"/>
  </r>
  <r>
    <x v="102"/>
    <d v="2025-10-21T00:00:00"/>
    <x v="2"/>
    <x v="0"/>
    <x v="3"/>
    <s v="Wireless Headphones"/>
    <n v="4"/>
    <n v="170.88"/>
    <n v="0.15"/>
    <x v="102"/>
    <n v="390.21"/>
    <s v="Delivered"/>
    <n v="2"/>
    <n v="2"/>
    <s v="No"/>
    <x v="3"/>
  </r>
  <r>
    <x v="103"/>
    <d v="2025-01-03T00:00:00"/>
    <x v="0"/>
    <x v="2"/>
    <x v="0"/>
    <s v="Running Shoes"/>
    <n v="5"/>
    <n v="242.02"/>
    <n v="0"/>
    <x v="103"/>
    <n v="670.94"/>
    <s v="Returned"/>
    <n v="6"/>
    <n v="2"/>
    <s v="Yes"/>
    <x v="0"/>
  </r>
  <r>
    <x v="104"/>
    <d v="2025-10-18T00:00:00"/>
    <x v="1"/>
    <x v="1"/>
    <x v="0"/>
    <s v="Running Shoes"/>
    <n v="2"/>
    <n v="235.18"/>
    <n v="0.2"/>
    <x v="104"/>
    <n v="267.70999999999998"/>
    <s v="Delivered"/>
    <n v="1"/>
    <n v="5"/>
    <s v="No"/>
    <x v="0"/>
  </r>
  <r>
    <x v="105"/>
    <d v="2025-10-15T00:00:00"/>
    <x v="3"/>
    <x v="2"/>
    <x v="2"/>
    <s v="Hair Dryer"/>
    <n v="1"/>
    <n v="144.66999999999999"/>
    <n v="0.15"/>
    <x v="105"/>
    <n v="78.56"/>
    <s v="Returned"/>
    <n v="7"/>
    <n v="2"/>
    <s v="Yes"/>
    <x v="2"/>
  </r>
  <r>
    <x v="106"/>
    <d v="2025-10-12T00:00:00"/>
    <x v="2"/>
    <x v="1"/>
    <x v="1"/>
    <s v="Storage Box Set"/>
    <n v="5"/>
    <n v="58.78"/>
    <n v="0.15"/>
    <x v="106"/>
    <n v="118.42"/>
    <s v="Delivered"/>
    <n v="6"/>
    <n v="1"/>
    <s v="No"/>
    <x v="1"/>
  </r>
  <r>
    <x v="107"/>
    <d v="2025-08-31T00:00:00"/>
    <x v="1"/>
    <x v="0"/>
    <x v="2"/>
    <s v="Hair Dryer"/>
    <n v="4"/>
    <n v="143.68"/>
    <n v="0.1"/>
    <x v="107"/>
    <n v="299.91000000000003"/>
    <s v="Delivered"/>
    <n v="3"/>
    <n v="2"/>
    <s v="No"/>
    <x v="2"/>
  </r>
  <r>
    <x v="108"/>
    <d v="2025-06-22T00:00:00"/>
    <x v="2"/>
    <x v="0"/>
    <x v="4"/>
    <s v="Coffee Beans"/>
    <n v="5"/>
    <n v="58.6"/>
    <n v="0"/>
    <x v="108"/>
    <n v="165.54"/>
    <s v="Delivered"/>
    <n v="7"/>
    <n v="4"/>
    <s v="No"/>
    <x v="4"/>
  </r>
  <r>
    <x v="109"/>
    <d v="2025-09-15T00:00:00"/>
    <x v="4"/>
    <x v="2"/>
    <x v="3"/>
    <s v="USB-C Hub"/>
    <n v="1"/>
    <n v="89.16"/>
    <n v="0.2"/>
    <x v="109"/>
    <n v="45.34"/>
    <s v="Delivered"/>
    <n v="8"/>
    <n v="5"/>
    <s v="No"/>
    <x v="3"/>
  </r>
  <r>
    <x v="110"/>
    <d v="2025-04-12T00:00:00"/>
    <x v="3"/>
    <x v="0"/>
    <x v="4"/>
    <s v="Snack Bundle"/>
    <n v="1"/>
    <n v="37.04"/>
    <n v="0"/>
    <x v="110"/>
    <n v="16.38"/>
    <s v="Delivered"/>
    <n v="8"/>
    <n v="4"/>
    <s v="No"/>
    <x v="4"/>
  </r>
  <r>
    <x v="111"/>
    <d v="2025-10-12T00:00:00"/>
    <x v="1"/>
    <x v="1"/>
    <x v="3"/>
    <s v="USB-C Hub"/>
    <n v="1"/>
    <n v="95.01"/>
    <n v="0.1"/>
    <x v="111"/>
    <n v="49.43"/>
    <s v="Delivered"/>
    <n v="1"/>
    <n v="5"/>
    <s v="No"/>
    <x v="3"/>
  </r>
  <r>
    <x v="112"/>
    <d v="2025-07-22T00:00:00"/>
    <x v="2"/>
    <x v="0"/>
    <x v="2"/>
    <s v="Skincare Set"/>
    <n v="1"/>
    <n v="131.44"/>
    <n v="0.1"/>
    <x v="112"/>
    <n v="53.4"/>
    <s v="Delivered"/>
    <n v="4"/>
    <n v="2"/>
    <s v="No"/>
    <x v="2"/>
  </r>
  <r>
    <x v="113"/>
    <d v="2025-06-17T00:00:00"/>
    <x v="0"/>
    <x v="2"/>
    <x v="1"/>
    <s v="Water Bottle"/>
    <n v="2"/>
    <n v="42.57"/>
    <n v="0.15"/>
    <x v="113"/>
    <n v="27.63"/>
    <s v="Cancelled"/>
    <m/>
    <m/>
    <s v="No"/>
    <x v="1"/>
  </r>
  <r>
    <x v="114"/>
    <d v="2025-07-04T00:00:00"/>
    <x v="0"/>
    <x v="2"/>
    <x v="4"/>
    <s v="Coffee Beans"/>
    <n v="3"/>
    <n v="60.37"/>
    <n v="0.15"/>
    <x v="114"/>
    <n v="108.19"/>
    <s v="Returned"/>
    <n v="1"/>
    <n v="2"/>
    <s v="Yes"/>
    <x v="4"/>
  </r>
  <r>
    <x v="115"/>
    <d v="2025-07-27T00:00:00"/>
    <x v="0"/>
    <x v="1"/>
    <x v="3"/>
    <s v="Wireless Headphones"/>
    <n v="2"/>
    <n v="189.89"/>
    <n v="0.05"/>
    <x v="115"/>
    <n v="175.86"/>
    <s v="Delivered"/>
    <n v="3"/>
    <n v="1"/>
    <s v="No"/>
    <x v="3"/>
  </r>
  <r>
    <x v="116"/>
    <d v="2025-01-14T00:00:00"/>
    <x v="3"/>
    <x v="2"/>
    <x v="3"/>
    <s v="Wireless Headphones"/>
    <n v="5"/>
    <n v="181.4"/>
    <n v="0.15"/>
    <x v="116"/>
    <n v="499.26"/>
    <s v="Delivered"/>
    <n v="1"/>
    <n v="3"/>
    <s v="No"/>
    <x v="3"/>
  </r>
  <r>
    <x v="117"/>
    <d v="2025-02-21T00:00:00"/>
    <x v="1"/>
    <x v="0"/>
    <x v="0"/>
    <s v="Running Shoes"/>
    <n v="2"/>
    <n v="238.3"/>
    <n v="0.1"/>
    <x v="117"/>
    <n v="254.5"/>
    <s v="Delivered"/>
    <n v="6"/>
    <n v="4"/>
    <s v="No"/>
    <x v="0"/>
  </r>
  <r>
    <x v="118"/>
    <d v="2025-03-31T00:00:00"/>
    <x v="0"/>
    <x v="0"/>
    <x v="3"/>
    <s v="USB-C Hub"/>
    <n v="1"/>
    <n v="88.83"/>
    <n v="0"/>
    <x v="118"/>
    <n v="50.48"/>
    <s v="Delivered"/>
    <n v="4"/>
    <n v="5"/>
    <s v="No"/>
    <x v="3"/>
  </r>
  <r>
    <x v="119"/>
    <d v="2025-02-11T00:00:00"/>
    <x v="3"/>
    <x v="0"/>
    <x v="2"/>
    <s v="Hair Dryer"/>
    <n v="5"/>
    <n v="164.27"/>
    <n v="0.15"/>
    <x v="119"/>
    <n v="413.27"/>
    <s v="Delivered"/>
    <n v="4"/>
    <n v="4"/>
    <s v="No"/>
    <x v="2"/>
  </r>
  <r>
    <x v="120"/>
    <d v="2025-06-10T00:00:00"/>
    <x v="0"/>
    <x v="0"/>
    <x v="1"/>
    <s v="Desk Lamp"/>
    <n v="4"/>
    <n v="75.760000000000005"/>
    <n v="0.1"/>
    <x v="120"/>
    <n v="134.72999999999999"/>
    <s v="Delivered"/>
    <n v="6"/>
    <n v="5"/>
    <s v="No"/>
    <x v="1"/>
  </r>
  <r>
    <x v="121"/>
    <d v="2025-09-01T00:00:00"/>
    <x v="0"/>
    <x v="0"/>
    <x v="2"/>
    <s v="Hair Dryer"/>
    <n v="4"/>
    <n v="157.74"/>
    <n v="0.05"/>
    <x v="121"/>
    <n v="328.3"/>
    <s v="Delivered"/>
    <n v="7"/>
    <n v="2"/>
    <s v="No"/>
    <x v="2"/>
  </r>
  <r>
    <x v="122"/>
    <d v="2025-08-27T00:00:00"/>
    <x v="1"/>
    <x v="1"/>
    <x v="2"/>
    <s v="Skincare Set"/>
    <n v="2"/>
    <n v="124.24"/>
    <n v="0.1"/>
    <x v="122"/>
    <n v="102.36"/>
    <s v="Delivered"/>
    <n v="1"/>
    <n v="4"/>
    <s v="No"/>
    <x v="2"/>
  </r>
  <r>
    <x v="123"/>
    <d v="2025-06-21T00:00:00"/>
    <x v="0"/>
    <x v="0"/>
    <x v="3"/>
    <s v="Smart Watch"/>
    <n v="5"/>
    <n v="318.47000000000003"/>
    <n v="0.05"/>
    <x v="123"/>
    <n v="1016.2"/>
    <s v="Returned"/>
    <n v="4"/>
    <n v="3"/>
    <s v="Yes"/>
    <x v="3"/>
  </r>
  <r>
    <x v="124"/>
    <d v="2025-11-09T00:00:00"/>
    <x v="2"/>
    <x v="0"/>
    <x v="3"/>
    <s v="Wireless Headphones"/>
    <n v="4"/>
    <n v="165.57"/>
    <n v="0"/>
    <x v="124"/>
    <n v="362.18"/>
    <s v="Delivered"/>
    <n v="4"/>
    <n v="4"/>
    <s v="No"/>
    <x v="3"/>
  </r>
  <r>
    <x v="125"/>
    <d v="2025-07-26T00:00:00"/>
    <x v="1"/>
    <x v="0"/>
    <x v="1"/>
    <s v="Water Bottle"/>
    <n v="2"/>
    <n v="38.86"/>
    <n v="0"/>
    <x v="125"/>
    <n v="26.95"/>
    <s v="Delivered"/>
    <n v="7"/>
    <n v="5"/>
    <s v="No"/>
    <x v="1"/>
  </r>
  <r>
    <x v="126"/>
    <d v="2025-01-29T00:00:00"/>
    <x v="0"/>
    <x v="1"/>
    <x v="4"/>
    <s v="Olive Oil"/>
    <n v="1"/>
    <n v="44.31"/>
    <n v="0"/>
    <x v="126"/>
    <n v="27.52"/>
    <s v="Delivered"/>
    <n v="1"/>
    <n v="1"/>
    <s v="No"/>
    <x v="4"/>
  </r>
  <r>
    <x v="127"/>
    <d v="2025-10-07T00:00:00"/>
    <x v="2"/>
    <x v="2"/>
    <x v="2"/>
    <s v="Face Cleanser"/>
    <n v="1"/>
    <n v="44.11"/>
    <n v="0"/>
    <x v="127"/>
    <n v="17.489999999999998"/>
    <s v="Returned"/>
    <n v="8"/>
    <n v="5"/>
    <s v="Yes"/>
    <x v="2"/>
  </r>
  <r>
    <x v="128"/>
    <d v="2025-07-29T00:00:00"/>
    <x v="1"/>
    <x v="2"/>
    <x v="3"/>
    <s v="USB-C Hub"/>
    <n v="5"/>
    <n v="94.88"/>
    <n v="0.05"/>
    <x v="128"/>
    <n v="258.08"/>
    <s v="Returned"/>
    <n v="4"/>
    <n v="3"/>
    <s v="Yes"/>
    <x v="3"/>
  </r>
  <r>
    <x v="129"/>
    <d v="2025-08-20T00:00:00"/>
    <x v="2"/>
    <x v="0"/>
    <x v="1"/>
    <s v="Desk Lamp"/>
    <n v="2"/>
    <n v="80.489999999999995"/>
    <n v="0"/>
    <x v="129"/>
    <n v="64.91"/>
    <s v="Delivered"/>
    <n v="4"/>
    <n v="3"/>
    <s v="No"/>
    <x v="1"/>
  </r>
  <r>
    <x v="130"/>
    <d v="2025-07-26T00:00:00"/>
    <x v="3"/>
    <x v="0"/>
    <x v="0"/>
    <s v="Backpack"/>
    <n v="5"/>
    <n v="107.61"/>
    <n v="0.15"/>
    <x v="130"/>
    <n v="252.9"/>
    <s v="Delivered"/>
    <n v="4"/>
    <n v="2"/>
    <s v="No"/>
    <x v="0"/>
  </r>
  <r>
    <x v="131"/>
    <d v="2025-07-22T00:00:00"/>
    <x v="2"/>
    <x v="2"/>
    <x v="2"/>
    <s v="Hair Dryer"/>
    <n v="2"/>
    <n v="146.36000000000001"/>
    <n v="0"/>
    <x v="131"/>
    <n v="145.88"/>
    <s v="Delivered"/>
    <n v="8"/>
    <n v="2"/>
    <s v="No"/>
    <x v="2"/>
  </r>
  <r>
    <x v="132"/>
    <d v="2025-02-03T00:00:00"/>
    <x v="0"/>
    <x v="2"/>
    <x v="3"/>
    <s v="USB-C Hub"/>
    <n v="3"/>
    <n v="90.39"/>
    <n v="0.1"/>
    <x v="132"/>
    <n v="151.53"/>
    <s v="Returned"/>
    <n v="8"/>
    <n v="5"/>
    <s v="Yes"/>
    <x v="3"/>
  </r>
  <r>
    <x v="133"/>
    <d v="2025-07-24T00:00:00"/>
    <x v="2"/>
    <x v="2"/>
    <x v="4"/>
    <s v="Coffee Beans"/>
    <n v="5"/>
    <n v="66.03"/>
    <n v="0.15"/>
    <x v="133"/>
    <n v="156.53"/>
    <s v="Delivered"/>
    <n v="8"/>
    <n v="3"/>
    <s v="No"/>
    <x v="4"/>
  </r>
  <r>
    <x v="134"/>
    <d v="2025-10-18T00:00:00"/>
    <x v="1"/>
    <x v="0"/>
    <x v="3"/>
    <s v="Smart Watch"/>
    <n v="4"/>
    <n v="319.77"/>
    <n v="0.15"/>
    <x v="134"/>
    <n v="755.84"/>
    <s v="Delivered"/>
    <n v="1"/>
    <n v="5"/>
    <s v="No"/>
    <x v="3"/>
  </r>
  <r>
    <x v="135"/>
    <d v="2025-04-21T00:00:00"/>
    <x v="2"/>
    <x v="2"/>
    <x v="1"/>
    <s v="Water Bottle"/>
    <n v="5"/>
    <n v="37.28"/>
    <n v="0"/>
    <x v="135"/>
    <n v="73.08"/>
    <s v="Delivered"/>
    <n v="2"/>
    <n v="5"/>
    <s v="No"/>
    <x v="1"/>
  </r>
  <r>
    <x v="136"/>
    <d v="2025-08-09T00:00:00"/>
    <x v="2"/>
    <x v="1"/>
    <x v="4"/>
    <s v="Olive Oil"/>
    <n v="5"/>
    <n v="48.91"/>
    <n v="0"/>
    <x v="136"/>
    <n v="143.16999999999999"/>
    <s v="Processing"/>
    <m/>
    <m/>
    <s v="No"/>
    <x v="4"/>
  </r>
  <r>
    <x v="137"/>
    <d v="2025-01-12T00:00:00"/>
    <x v="4"/>
    <x v="0"/>
    <x v="2"/>
    <s v="Hair Dryer"/>
    <n v="2"/>
    <n v="153.22"/>
    <n v="0.2"/>
    <x v="137"/>
    <n v="154.13"/>
    <s v="Delivered"/>
    <n v="2"/>
    <n v="1"/>
    <s v="No"/>
    <x v="2"/>
  </r>
  <r>
    <x v="138"/>
    <d v="2025-05-07T00:00:00"/>
    <x v="0"/>
    <x v="0"/>
    <x v="0"/>
    <s v="Running Shoes"/>
    <n v="5"/>
    <n v="230.58"/>
    <n v="0"/>
    <x v="138"/>
    <n v="688.93"/>
    <s v="Delivered"/>
    <n v="1"/>
    <n v="3"/>
    <s v="No"/>
    <x v="0"/>
  </r>
  <r>
    <x v="139"/>
    <d v="2025-06-09T00:00:00"/>
    <x v="2"/>
    <x v="2"/>
    <x v="3"/>
    <s v="USB-C Hub"/>
    <n v="4"/>
    <n v="97.26"/>
    <n v="0.05"/>
    <x v="139"/>
    <n v="177.87"/>
    <s v="Processing"/>
    <m/>
    <m/>
    <s v="No"/>
    <x v="3"/>
  </r>
  <r>
    <x v="140"/>
    <d v="2025-12-25T00:00:00"/>
    <x v="0"/>
    <x v="1"/>
    <x v="3"/>
    <s v="Smart Watch"/>
    <n v="1"/>
    <n v="310.02999999999997"/>
    <n v="0"/>
    <x v="140"/>
    <n v="177.74"/>
    <s v="Delivered"/>
    <n v="8"/>
    <n v="3"/>
    <s v="No"/>
    <x v="3"/>
  </r>
  <r>
    <x v="141"/>
    <d v="2025-03-20T00:00:00"/>
    <x v="3"/>
    <x v="0"/>
    <x v="3"/>
    <s v="USB-C Hub"/>
    <n v="3"/>
    <n v="97.55"/>
    <n v="0.15"/>
    <x v="141"/>
    <n v="142.36000000000001"/>
    <s v="Processing"/>
    <m/>
    <m/>
    <s v="No"/>
    <x v="3"/>
  </r>
  <r>
    <x v="142"/>
    <d v="2025-04-11T00:00:00"/>
    <x v="3"/>
    <x v="0"/>
    <x v="2"/>
    <s v="Hair Dryer"/>
    <n v="5"/>
    <n v="136.21"/>
    <n v="0.2"/>
    <x v="142"/>
    <n v="402.84"/>
    <s v="Delivered"/>
    <n v="3"/>
    <n v="2"/>
    <s v="No"/>
    <x v="2"/>
  </r>
  <r>
    <x v="143"/>
    <d v="2025-05-30T00:00:00"/>
    <x v="0"/>
    <x v="1"/>
    <x v="4"/>
    <s v="Olive Oil"/>
    <n v="5"/>
    <n v="51.21"/>
    <n v="0"/>
    <x v="143"/>
    <n v="127.56"/>
    <s v="Delivered"/>
    <n v="7"/>
    <n v="3"/>
    <s v="No"/>
    <x v="4"/>
  </r>
  <r>
    <x v="144"/>
    <d v="2025-12-29T00:00:00"/>
    <x v="0"/>
    <x v="1"/>
    <x v="1"/>
    <s v="Water Bottle"/>
    <n v="3"/>
    <n v="43.75"/>
    <n v="0"/>
    <x v="144"/>
    <n v="40.729999999999997"/>
    <s v="Cancelled"/>
    <m/>
    <m/>
    <s v="No"/>
    <x v="1"/>
  </r>
  <r>
    <x v="145"/>
    <d v="2025-11-08T00:00:00"/>
    <x v="3"/>
    <x v="1"/>
    <x v="3"/>
    <s v="Wireless Headphones"/>
    <n v="4"/>
    <n v="191.88"/>
    <n v="0.1"/>
    <x v="145"/>
    <n v="408.93"/>
    <s v="Returned"/>
    <n v="6"/>
    <n v="1"/>
    <s v="Yes"/>
    <x v="3"/>
  </r>
  <r>
    <x v="146"/>
    <d v="2025-01-13T00:00:00"/>
    <x v="4"/>
    <x v="0"/>
    <x v="0"/>
    <s v="Running Shoes"/>
    <n v="3"/>
    <n v="259.14999999999998"/>
    <n v="0.05"/>
    <x v="146"/>
    <n v="419.44"/>
    <s v="Delivered"/>
    <n v="6"/>
    <n v="5"/>
    <s v="No"/>
    <x v="0"/>
  </r>
  <r>
    <x v="147"/>
    <d v="2025-03-27T00:00:00"/>
    <x v="2"/>
    <x v="1"/>
    <x v="1"/>
    <s v="Storage Box Set"/>
    <n v="1"/>
    <n v="50.35"/>
    <n v="0"/>
    <x v="147"/>
    <n v="22.99"/>
    <s v="Delivered"/>
    <n v="7"/>
    <n v="4"/>
    <s v="No"/>
    <x v="1"/>
  </r>
  <r>
    <x v="148"/>
    <d v="2025-10-27T00:00:00"/>
    <x v="1"/>
    <x v="1"/>
    <x v="3"/>
    <s v="Wireless Headphones"/>
    <n v="1"/>
    <n v="197.13"/>
    <n v="0"/>
    <x v="148"/>
    <n v="90.72"/>
    <s v="Delivered"/>
    <n v="5"/>
    <n v="1"/>
    <s v="No"/>
    <x v="3"/>
  </r>
  <r>
    <x v="149"/>
    <d v="2025-01-22T00:00:00"/>
    <x v="0"/>
    <x v="2"/>
    <x v="3"/>
    <s v="Wireless Headphones"/>
    <n v="2"/>
    <n v="169.02"/>
    <n v="0"/>
    <x v="149"/>
    <n v="192.08"/>
    <s v="Delivered"/>
    <n v="6"/>
    <n v="4"/>
    <s v="No"/>
    <x v="3"/>
  </r>
  <r>
    <x v="150"/>
    <d v="2025-11-09T00:00:00"/>
    <x v="1"/>
    <x v="0"/>
    <x v="3"/>
    <s v="Smart Watch"/>
    <n v="5"/>
    <n v="343.3"/>
    <n v="0.1"/>
    <x v="150"/>
    <n v="1018.22"/>
    <s v="Delivered"/>
    <n v="3"/>
    <n v="3"/>
    <s v="No"/>
    <x v="3"/>
  </r>
  <r>
    <x v="151"/>
    <d v="2025-04-13T00:00:00"/>
    <x v="0"/>
    <x v="2"/>
    <x v="4"/>
    <s v="Snack Bundle"/>
    <n v="5"/>
    <n v="35.28"/>
    <n v="0.1"/>
    <x v="151"/>
    <n v="80.69"/>
    <s v="Delivered"/>
    <n v="2"/>
    <n v="4"/>
    <s v="No"/>
    <x v="4"/>
  </r>
  <r>
    <x v="152"/>
    <d v="2025-12-01T00:00:00"/>
    <x v="3"/>
    <x v="2"/>
    <x v="2"/>
    <s v="Face Cleanser"/>
    <n v="2"/>
    <n v="42.02"/>
    <n v="0.1"/>
    <x v="152"/>
    <n v="38.520000000000003"/>
    <s v="Cancelled"/>
    <m/>
    <m/>
    <s v="No"/>
    <x v="2"/>
  </r>
  <r>
    <x v="153"/>
    <d v="2025-04-18T00:00:00"/>
    <x v="1"/>
    <x v="0"/>
    <x v="2"/>
    <s v="Skincare Set"/>
    <n v="1"/>
    <n v="131.88"/>
    <n v="0.05"/>
    <x v="153"/>
    <n v="54.88"/>
    <s v="Delivered"/>
    <n v="8"/>
    <n v="1"/>
    <s v="No"/>
    <x v="2"/>
  </r>
  <r>
    <x v="154"/>
    <d v="2025-06-08T00:00:00"/>
    <x v="2"/>
    <x v="0"/>
    <x v="0"/>
    <s v="Running Shoes"/>
    <n v="2"/>
    <n v="218.44"/>
    <n v="0.1"/>
    <x v="154"/>
    <n v="280.02999999999997"/>
    <s v="Delivered"/>
    <n v="4"/>
    <n v="4"/>
    <s v="No"/>
    <x v="0"/>
  </r>
  <r>
    <x v="155"/>
    <d v="2025-08-30T00:00:00"/>
    <x v="2"/>
    <x v="2"/>
    <x v="4"/>
    <s v="Coffee Beans"/>
    <n v="4"/>
    <n v="64.069999999999993"/>
    <n v="0.1"/>
    <x v="155"/>
    <n v="139"/>
    <s v="Processing"/>
    <m/>
    <m/>
    <s v="No"/>
    <x v="4"/>
  </r>
  <r>
    <x v="156"/>
    <d v="2025-02-16T00:00:00"/>
    <x v="0"/>
    <x v="2"/>
    <x v="1"/>
    <s v="Storage Box Set"/>
    <n v="4"/>
    <n v="60.07"/>
    <n v="0.1"/>
    <x v="156"/>
    <n v="86.18"/>
    <s v="Processing"/>
    <m/>
    <m/>
    <s v="No"/>
    <x v="1"/>
  </r>
  <r>
    <x v="157"/>
    <d v="2025-07-23T00:00:00"/>
    <x v="0"/>
    <x v="2"/>
    <x v="0"/>
    <s v="Backpack"/>
    <n v="3"/>
    <n v="115.39"/>
    <n v="0"/>
    <x v="157"/>
    <n v="146.79"/>
    <s v="Delivered"/>
    <n v="1"/>
    <n v="4"/>
    <s v="No"/>
    <x v="0"/>
  </r>
  <r>
    <x v="158"/>
    <d v="2025-07-04T00:00:00"/>
    <x v="0"/>
    <x v="2"/>
    <x v="4"/>
    <s v="Olive Oil"/>
    <n v="2"/>
    <n v="52.38"/>
    <n v="0"/>
    <x v="158"/>
    <n v="51.01"/>
    <s v="Delivered"/>
    <n v="2"/>
    <n v="1"/>
    <s v="No"/>
    <x v="4"/>
  </r>
  <r>
    <x v="159"/>
    <d v="2025-10-14T00:00:00"/>
    <x v="2"/>
    <x v="0"/>
    <x v="0"/>
    <s v="Cotton T-Shirt"/>
    <n v="1"/>
    <n v="48.58"/>
    <n v="0"/>
    <x v="159"/>
    <n v="19.93"/>
    <s v="Processing"/>
    <m/>
    <m/>
    <s v="No"/>
    <x v="0"/>
  </r>
  <r>
    <x v="160"/>
    <d v="2025-12-30T00:00:00"/>
    <x v="0"/>
    <x v="2"/>
    <x v="1"/>
    <s v="Storage Box Set"/>
    <n v="1"/>
    <n v="57.26"/>
    <n v="0.1"/>
    <x v="160"/>
    <n v="20.49"/>
    <s v="Delivered"/>
    <n v="4"/>
    <n v="1"/>
    <s v="No"/>
    <x v="1"/>
  </r>
  <r>
    <x v="161"/>
    <d v="2025-08-31T00:00:00"/>
    <x v="3"/>
    <x v="0"/>
    <x v="2"/>
    <s v="Face Cleanser"/>
    <n v="3"/>
    <n v="43.75"/>
    <n v="0"/>
    <x v="144"/>
    <n v="51.2"/>
    <s v="Cancelled"/>
    <m/>
    <m/>
    <s v="No"/>
    <x v="2"/>
  </r>
  <r>
    <x v="162"/>
    <d v="2025-05-30T00:00:00"/>
    <x v="2"/>
    <x v="0"/>
    <x v="1"/>
    <s v="Water Bottle"/>
    <n v="4"/>
    <n v="38.18"/>
    <n v="0"/>
    <x v="161"/>
    <n v="52.69"/>
    <s v="Delivered"/>
    <n v="4"/>
    <n v="5"/>
    <s v="No"/>
    <x v="1"/>
  </r>
  <r>
    <x v="163"/>
    <d v="2025-05-29T00:00:00"/>
    <x v="0"/>
    <x v="2"/>
    <x v="0"/>
    <s v="Running Shoes"/>
    <n v="1"/>
    <n v="246.86"/>
    <n v="0.05"/>
    <x v="162"/>
    <n v="137.63999999999999"/>
    <s v="Returned"/>
    <n v="4"/>
    <n v="5"/>
    <s v="Yes"/>
    <x v="0"/>
  </r>
  <r>
    <x v="164"/>
    <d v="2025-06-02T00:00:00"/>
    <x v="2"/>
    <x v="0"/>
    <x v="4"/>
    <s v="Snack Bundle"/>
    <n v="4"/>
    <n v="32.07"/>
    <n v="0.05"/>
    <x v="163"/>
    <n v="62.73"/>
    <s v="Processing"/>
    <m/>
    <m/>
    <s v="No"/>
    <x v="4"/>
  </r>
  <r>
    <x v="165"/>
    <d v="2025-10-25T00:00:00"/>
    <x v="0"/>
    <x v="1"/>
    <x v="2"/>
    <s v="Hair Dryer"/>
    <n v="4"/>
    <n v="138.26"/>
    <n v="0.15"/>
    <x v="164"/>
    <n v="298.27999999999997"/>
    <s v="Delivered"/>
    <n v="7"/>
    <n v="5"/>
    <s v="No"/>
    <x v="2"/>
  </r>
  <r>
    <x v="166"/>
    <d v="2025-04-28T00:00:00"/>
    <x v="2"/>
    <x v="0"/>
    <x v="4"/>
    <s v="Coffee Beans"/>
    <n v="5"/>
    <n v="63.72"/>
    <n v="0"/>
    <x v="165"/>
    <n v="163.69"/>
    <s v="Cancelled"/>
    <m/>
    <m/>
    <s v="No"/>
    <x v="4"/>
  </r>
  <r>
    <x v="167"/>
    <d v="2025-03-02T00:00:00"/>
    <x v="3"/>
    <x v="0"/>
    <x v="2"/>
    <s v="Hair Dryer"/>
    <n v="4"/>
    <n v="140.86000000000001"/>
    <n v="0"/>
    <x v="166"/>
    <n v="289.93"/>
    <s v="Delivered"/>
    <n v="1"/>
    <n v="5"/>
    <s v="No"/>
    <x v="2"/>
  </r>
  <r>
    <x v="168"/>
    <d v="2025-05-03T00:00:00"/>
    <x v="4"/>
    <x v="2"/>
    <x v="0"/>
    <s v="Cotton T-Shirt"/>
    <n v="1"/>
    <n v="53.12"/>
    <n v="0"/>
    <x v="167"/>
    <n v="19.25"/>
    <s v="Returned"/>
    <n v="8"/>
    <n v="5"/>
    <s v="Yes"/>
    <x v="0"/>
  </r>
  <r>
    <x v="169"/>
    <d v="2025-01-09T00:00:00"/>
    <x v="0"/>
    <x v="0"/>
    <x v="1"/>
    <s v="Water Bottle"/>
    <n v="5"/>
    <n v="38.119999999999997"/>
    <n v="0.2"/>
    <x v="168"/>
    <n v="69.22"/>
    <s v="Delivered"/>
    <n v="7"/>
    <n v="4"/>
    <s v="No"/>
    <x v="1"/>
  </r>
  <r>
    <x v="170"/>
    <d v="2025-02-08T00:00:00"/>
    <x v="0"/>
    <x v="0"/>
    <x v="0"/>
    <s v="Backpack"/>
    <n v="2"/>
    <n v="103.69"/>
    <n v="0.15"/>
    <x v="169"/>
    <n v="95.75"/>
    <s v="Processing"/>
    <m/>
    <m/>
    <s v="No"/>
    <x v="0"/>
  </r>
  <r>
    <x v="171"/>
    <d v="2025-02-02T00:00:00"/>
    <x v="2"/>
    <x v="0"/>
    <x v="3"/>
    <s v="Smart Watch"/>
    <n v="5"/>
    <n v="293.7"/>
    <n v="0.15"/>
    <x v="170"/>
    <n v="934.08"/>
    <s v="Delivered"/>
    <n v="2"/>
    <n v="1"/>
    <s v="No"/>
    <x v="3"/>
  </r>
  <r>
    <x v="172"/>
    <d v="2025-10-09T00:00:00"/>
    <x v="2"/>
    <x v="0"/>
    <x v="3"/>
    <s v="Smart Watch"/>
    <n v="3"/>
    <n v="343.16"/>
    <n v="0.05"/>
    <x v="171"/>
    <n v="582.97"/>
    <s v="Cancelled"/>
    <m/>
    <m/>
    <s v="No"/>
    <x v="3"/>
  </r>
  <r>
    <x v="173"/>
    <d v="2025-09-21T00:00:00"/>
    <x v="2"/>
    <x v="0"/>
    <x v="1"/>
    <s v="Water Bottle"/>
    <n v="2"/>
    <n v="41.84"/>
    <n v="0"/>
    <x v="172"/>
    <n v="29.14"/>
    <s v="Returned"/>
    <n v="2"/>
    <n v="2"/>
    <s v="Yes"/>
    <x v="1"/>
  </r>
  <r>
    <x v="174"/>
    <d v="2025-09-12T00:00:00"/>
    <x v="2"/>
    <x v="0"/>
    <x v="3"/>
    <s v="Smart Watch"/>
    <n v="3"/>
    <n v="338.95"/>
    <n v="0"/>
    <x v="173"/>
    <n v="607.16999999999996"/>
    <s v="Delivered"/>
    <n v="7"/>
    <n v="1"/>
    <s v="No"/>
    <x v="3"/>
  </r>
  <r>
    <x v="175"/>
    <d v="2025-06-18T00:00:00"/>
    <x v="1"/>
    <x v="0"/>
    <x v="3"/>
    <s v="Wireless Headphones"/>
    <n v="1"/>
    <n v="170.09"/>
    <n v="0.05"/>
    <x v="174"/>
    <n v="100.27"/>
    <s v="Returned"/>
    <n v="1"/>
    <n v="1"/>
    <s v="Yes"/>
    <x v="3"/>
  </r>
  <r>
    <x v="176"/>
    <d v="2025-09-19T00:00:00"/>
    <x v="3"/>
    <x v="0"/>
    <x v="0"/>
    <s v="Backpack"/>
    <n v="4"/>
    <n v="119.18"/>
    <n v="0"/>
    <x v="175"/>
    <n v="219.68"/>
    <s v="Delivered"/>
    <n v="7"/>
    <n v="5"/>
    <s v="No"/>
    <x v="0"/>
  </r>
  <r>
    <x v="177"/>
    <d v="2025-02-28T00:00:00"/>
    <x v="3"/>
    <x v="2"/>
    <x v="1"/>
    <s v="Water Bottle"/>
    <n v="1"/>
    <n v="37.03"/>
    <n v="0.1"/>
    <x v="176"/>
    <n v="14.63"/>
    <s v="Processing"/>
    <m/>
    <m/>
    <s v="No"/>
    <x v="1"/>
  </r>
  <r>
    <x v="178"/>
    <d v="2025-11-25T00:00:00"/>
    <x v="2"/>
    <x v="0"/>
    <x v="2"/>
    <s v="Skincare Set"/>
    <n v="5"/>
    <n v="125.87"/>
    <n v="0.05"/>
    <x v="177"/>
    <n v="289.10000000000002"/>
    <s v="Delivered"/>
    <n v="6"/>
    <n v="5"/>
    <s v="No"/>
    <x v="2"/>
  </r>
  <r>
    <x v="179"/>
    <d v="2025-07-02T00:00:00"/>
    <x v="3"/>
    <x v="0"/>
    <x v="2"/>
    <s v="Skincare Set"/>
    <n v="4"/>
    <n v="117.48"/>
    <n v="0.1"/>
    <x v="178"/>
    <n v="230.1"/>
    <s v="Delivered"/>
    <n v="7"/>
    <n v="4"/>
    <s v="No"/>
    <x v="2"/>
  </r>
  <r>
    <x v="180"/>
    <d v="2025-12-09T00:00:00"/>
    <x v="2"/>
    <x v="1"/>
    <x v="0"/>
    <s v="Running Shoes"/>
    <n v="3"/>
    <n v="254.17"/>
    <n v="0"/>
    <x v="179"/>
    <n v="418.74"/>
    <s v="Delivered"/>
    <n v="6"/>
    <n v="2"/>
    <s v="No"/>
    <x v="0"/>
  </r>
  <r>
    <x v="181"/>
    <d v="2025-02-25T00:00:00"/>
    <x v="0"/>
    <x v="0"/>
    <x v="0"/>
    <s v="Backpack"/>
    <n v="4"/>
    <n v="101.06"/>
    <n v="0.2"/>
    <x v="180"/>
    <n v="205.08"/>
    <s v="Delivered"/>
    <n v="5"/>
    <n v="4"/>
    <s v="No"/>
    <x v="0"/>
  </r>
  <r>
    <x v="182"/>
    <d v="2025-07-01T00:00:00"/>
    <x v="0"/>
    <x v="2"/>
    <x v="1"/>
    <s v="Storage Box Set"/>
    <n v="5"/>
    <n v="52.81"/>
    <n v="0.15"/>
    <x v="181"/>
    <n v="114.76"/>
    <s v="Delivered"/>
    <n v="3"/>
    <n v="5"/>
    <s v="No"/>
    <x v="1"/>
  </r>
  <r>
    <x v="183"/>
    <d v="2025-09-12T00:00:00"/>
    <x v="4"/>
    <x v="0"/>
    <x v="3"/>
    <s v="USB-C Hub"/>
    <n v="3"/>
    <n v="96.21"/>
    <n v="0.1"/>
    <x v="182"/>
    <n v="143.9"/>
    <s v="Delivered"/>
    <n v="7"/>
    <n v="5"/>
    <s v="No"/>
    <x v="3"/>
  </r>
  <r>
    <x v="184"/>
    <d v="2025-06-30T00:00:00"/>
    <x v="0"/>
    <x v="2"/>
    <x v="3"/>
    <s v="USB-C Hub"/>
    <n v="2"/>
    <n v="86.47"/>
    <n v="0.15"/>
    <x v="183"/>
    <n v="99.84"/>
    <s v="Delivered"/>
    <n v="3"/>
    <n v="4"/>
    <s v="No"/>
    <x v="3"/>
  </r>
  <r>
    <x v="185"/>
    <d v="2025-06-12T00:00:00"/>
    <x v="2"/>
    <x v="1"/>
    <x v="3"/>
    <s v="USB-C Hub"/>
    <n v="3"/>
    <n v="90.17"/>
    <n v="0.1"/>
    <x v="184"/>
    <n v="137.80000000000001"/>
    <s v="Delivered"/>
    <n v="4"/>
    <n v="4"/>
    <s v="No"/>
    <x v="3"/>
  </r>
  <r>
    <x v="186"/>
    <d v="2025-03-02T00:00:00"/>
    <x v="2"/>
    <x v="1"/>
    <x v="0"/>
    <s v="Backpack"/>
    <n v="4"/>
    <n v="109.47"/>
    <n v="0.05"/>
    <x v="185"/>
    <n v="206.32"/>
    <s v="Delivered"/>
    <n v="6"/>
    <n v="5"/>
    <s v="No"/>
    <x v="0"/>
  </r>
  <r>
    <x v="187"/>
    <d v="2025-05-20T00:00:00"/>
    <x v="2"/>
    <x v="0"/>
    <x v="1"/>
    <s v="Water Bottle"/>
    <n v="5"/>
    <n v="43.78"/>
    <n v="0"/>
    <x v="186"/>
    <n v="74.510000000000005"/>
    <s v="Processing"/>
    <m/>
    <m/>
    <s v="No"/>
    <x v="1"/>
  </r>
  <r>
    <x v="188"/>
    <d v="2025-03-29T00:00:00"/>
    <x v="4"/>
    <x v="0"/>
    <x v="3"/>
    <s v="Wireless Headphones"/>
    <n v="2"/>
    <n v="166.32"/>
    <n v="0"/>
    <x v="187"/>
    <n v="176.97"/>
    <s v="Delivered"/>
    <n v="8"/>
    <n v="3"/>
    <s v="No"/>
    <x v="3"/>
  </r>
  <r>
    <x v="189"/>
    <d v="2025-04-21T00:00:00"/>
    <x v="2"/>
    <x v="2"/>
    <x v="0"/>
    <s v="Cotton T-Shirt"/>
    <n v="1"/>
    <n v="53.82"/>
    <n v="0.1"/>
    <x v="188"/>
    <n v="20.440000000000001"/>
    <s v="Cancelled"/>
    <m/>
    <m/>
    <s v="No"/>
    <x v="0"/>
  </r>
  <r>
    <x v="190"/>
    <d v="2025-09-07T00:00:00"/>
    <x v="3"/>
    <x v="0"/>
    <x v="2"/>
    <s v="Face Cleanser"/>
    <n v="2"/>
    <n v="42.03"/>
    <n v="0.05"/>
    <x v="189"/>
    <n v="37.71"/>
    <s v="Cancelled"/>
    <m/>
    <m/>
    <s v="No"/>
    <x v="2"/>
  </r>
  <r>
    <x v="191"/>
    <d v="2025-08-19T00:00:00"/>
    <x v="2"/>
    <x v="0"/>
    <x v="4"/>
    <s v="Coffee Beans"/>
    <n v="4"/>
    <n v="69.63"/>
    <n v="0.1"/>
    <x v="190"/>
    <n v="126.81"/>
    <s v="Delivered"/>
    <n v="7"/>
    <n v="2"/>
    <s v="No"/>
    <x v="4"/>
  </r>
  <r>
    <x v="192"/>
    <d v="2025-08-10T00:00:00"/>
    <x v="2"/>
    <x v="2"/>
    <x v="0"/>
    <s v="Backpack"/>
    <n v="5"/>
    <n v="111.51"/>
    <n v="0"/>
    <x v="191"/>
    <n v="251.26"/>
    <s v="Delivered"/>
    <n v="5"/>
    <n v="1"/>
    <s v="No"/>
    <x v="0"/>
  </r>
  <r>
    <x v="193"/>
    <d v="2025-05-13T00:00:00"/>
    <x v="2"/>
    <x v="0"/>
    <x v="3"/>
    <s v="Smart Watch"/>
    <n v="2"/>
    <n v="331.69"/>
    <n v="0.1"/>
    <x v="192"/>
    <n v="354.1"/>
    <s v="Processing"/>
    <m/>
    <m/>
    <s v="No"/>
    <x v="3"/>
  </r>
  <r>
    <x v="194"/>
    <d v="2025-12-17T00:00:00"/>
    <x v="1"/>
    <x v="1"/>
    <x v="3"/>
    <s v="USB-C Hub"/>
    <n v="2"/>
    <n v="99.62"/>
    <n v="0.05"/>
    <x v="193"/>
    <n v="91.96"/>
    <s v="Cancelled"/>
    <m/>
    <m/>
    <s v="No"/>
    <x v="3"/>
  </r>
  <r>
    <x v="195"/>
    <d v="2025-02-01T00:00:00"/>
    <x v="0"/>
    <x v="2"/>
    <x v="2"/>
    <s v="Face Cleanser"/>
    <n v="3"/>
    <n v="48.85"/>
    <n v="0.1"/>
    <x v="194"/>
    <n v="53.93"/>
    <s v="Delivered"/>
    <n v="8"/>
    <n v="4"/>
    <s v="No"/>
    <x v="2"/>
  </r>
  <r>
    <x v="196"/>
    <d v="2025-05-06T00:00:00"/>
    <x v="1"/>
    <x v="0"/>
    <x v="3"/>
    <s v="Smart Watch"/>
    <n v="3"/>
    <n v="346.99"/>
    <n v="0.05"/>
    <x v="195"/>
    <n v="569.41"/>
    <s v="Delivered"/>
    <n v="4"/>
    <n v="3"/>
    <s v="No"/>
    <x v="3"/>
  </r>
  <r>
    <x v="197"/>
    <d v="2025-02-13T00:00:00"/>
    <x v="4"/>
    <x v="0"/>
    <x v="3"/>
    <s v="Wireless Headphones"/>
    <n v="1"/>
    <n v="177.55"/>
    <n v="0"/>
    <x v="196"/>
    <n v="99.09"/>
    <s v="Delivered"/>
    <n v="2"/>
    <n v="3"/>
    <s v="No"/>
    <x v="3"/>
  </r>
  <r>
    <x v="198"/>
    <d v="2025-05-04T00:00:00"/>
    <x v="2"/>
    <x v="1"/>
    <x v="3"/>
    <s v="Wireless Headphones"/>
    <n v="5"/>
    <n v="184.56"/>
    <n v="0"/>
    <x v="197"/>
    <n v="461.79"/>
    <s v="Delivered"/>
    <n v="6"/>
    <n v="1"/>
    <s v="No"/>
    <x v="3"/>
  </r>
  <r>
    <x v="199"/>
    <d v="2025-12-18T00:00:00"/>
    <x v="2"/>
    <x v="0"/>
    <x v="4"/>
    <s v="Coffee Beans"/>
    <n v="5"/>
    <n v="69.55"/>
    <n v="0.1"/>
    <x v="198"/>
    <n v="183.57"/>
    <s v="Delivered"/>
    <n v="3"/>
    <n v="2"/>
    <s v="No"/>
    <x v="4"/>
  </r>
  <r>
    <x v="200"/>
    <d v="2025-05-14T00:00:00"/>
    <x v="4"/>
    <x v="1"/>
    <x v="1"/>
    <s v="Storage Box Set"/>
    <n v="3"/>
    <n v="60.39"/>
    <n v="0.2"/>
    <x v="199"/>
    <n v="66.28"/>
    <s v="Delivered"/>
    <n v="6"/>
    <n v="2"/>
    <s v="No"/>
    <x v="1"/>
  </r>
  <r>
    <x v="201"/>
    <d v="2025-11-28T00:00:00"/>
    <x v="1"/>
    <x v="1"/>
    <x v="2"/>
    <s v="Skincare Set"/>
    <n v="4"/>
    <n v="118.56"/>
    <n v="0"/>
    <x v="200"/>
    <n v="237.09"/>
    <s v="Cancelled"/>
    <m/>
    <m/>
    <s v="No"/>
    <x v="2"/>
  </r>
  <r>
    <x v="202"/>
    <d v="2025-06-30T00:00:00"/>
    <x v="0"/>
    <x v="0"/>
    <x v="0"/>
    <s v="Cotton T-Shirt"/>
    <n v="2"/>
    <n v="50.47"/>
    <n v="0"/>
    <x v="201"/>
    <n v="40.39"/>
    <s v="Delivered"/>
    <n v="5"/>
    <n v="4"/>
    <s v="No"/>
    <x v="0"/>
  </r>
  <r>
    <x v="203"/>
    <d v="2025-09-13T00:00:00"/>
    <x v="3"/>
    <x v="0"/>
    <x v="1"/>
    <s v="Water Bottle"/>
    <n v="3"/>
    <n v="37.51"/>
    <n v="0"/>
    <x v="202"/>
    <n v="44.36"/>
    <s v="Delivered"/>
    <n v="1"/>
    <n v="4"/>
    <s v="No"/>
    <x v="1"/>
  </r>
  <r>
    <x v="204"/>
    <d v="2025-06-16T00:00:00"/>
    <x v="3"/>
    <x v="0"/>
    <x v="2"/>
    <s v="Skincare Set"/>
    <n v="1"/>
    <n v="112.25"/>
    <n v="0"/>
    <x v="203"/>
    <n v="56.37"/>
    <s v="Returned"/>
    <n v="3"/>
    <n v="5"/>
    <s v="Yes"/>
    <x v="2"/>
  </r>
  <r>
    <x v="205"/>
    <d v="2025-04-08T00:00:00"/>
    <x v="2"/>
    <x v="0"/>
    <x v="3"/>
    <s v="Smart Watch"/>
    <n v="1"/>
    <n v="326.82"/>
    <n v="0"/>
    <x v="204"/>
    <n v="188.32"/>
    <s v="Cancelled"/>
    <m/>
    <m/>
    <s v="No"/>
    <x v="3"/>
  </r>
  <r>
    <x v="206"/>
    <d v="2025-10-06T00:00:00"/>
    <x v="0"/>
    <x v="0"/>
    <x v="4"/>
    <s v="Snack Bundle"/>
    <n v="5"/>
    <n v="32.75"/>
    <n v="0"/>
    <x v="205"/>
    <n v="90.49"/>
    <s v="Delivered"/>
    <n v="5"/>
    <n v="5"/>
    <s v="No"/>
    <x v="4"/>
  </r>
  <r>
    <x v="207"/>
    <d v="2025-12-20T00:00:00"/>
    <x v="0"/>
    <x v="0"/>
    <x v="0"/>
    <s v="Backpack"/>
    <n v="1"/>
    <n v="109.87"/>
    <n v="0.2"/>
    <x v="206"/>
    <n v="50.34"/>
    <s v="Processing"/>
    <m/>
    <m/>
    <s v="No"/>
    <x v="0"/>
  </r>
  <r>
    <x v="208"/>
    <d v="2025-04-07T00:00:00"/>
    <x v="2"/>
    <x v="2"/>
    <x v="1"/>
    <s v="Water Bottle"/>
    <n v="1"/>
    <n v="41.69"/>
    <n v="0.05"/>
    <x v="207"/>
    <n v="12.92"/>
    <s v="Delivered"/>
    <n v="4"/>
    <n v="4"/>
    <s v="No"/>
    <x v="1"/>
  </r>
  <r>
    <x v="209"/>
    <d v="2025-10-12T00:00:00"/>
    <x v="2"/>
    <x v="0"/>
    <x v="4"/>
    <s v="Olive Oil"/>
    <n v="2"/>
    <n v="47.76"/>
    <n v="0"/>
    <x v="208"/>
    <n v="54.89"/>
    <s v="Processing"/>
    <m/>
    <m/>
    <s v="No"/>
    <x v="4"/>
  </r>
  <r>
    <x v="210"/>
    <d v="2025-04-06T00:00:00"/>
    <x v="0"/>
    <x v="1"/>
    <x v="1"/>
    <s v="Storage Box Set"/>
    <n v="3"/>
    <n v="51.44"/>
    <n v="0.05"/>
    <x v="209"/>
    <n v="69.430000000000007"/>
    <s v="Delivered"/>
    <n v="8"/>
    <n v="3"/>
    <s v="No"/>
    <x v="1"/>
  </r>
  <r>
    <x v="211"/>
    <d v="2025-09-19T00:00:00"/>
    <x v="1"/>
    <x v="1"/>
    <x v="4"/>
    <s v="Coffee Beans"/>
    <n v="3"/>
    <n v="68.42"/>
    <n v="0"/>
    <x v="210"/>
    <n v="109.67"/>
    <s v="Returned"/>
    <n v="2"/>
    <n v="3"/>
    <s v="Yes"/>
    <x v="4"/>
  </r>
  <r>
    <x v="212"/>
    <d v="2025-10-15T00:00:00"/>
    <x v="0"/>
    <x v="2"/>
    <x v="3"/>
    <s v="Wireless Headphones"/>
    <n v="5"/>
    <n v="184.13"/>
    <n v="0.1"/>
    <x v="211"/>
    <n v="468.71"/>
    <s v="Processing"/>
    <m/>
    <m/>
    <s v="No"/>
    <x v="3"/>
  </r>
  <r>
    <x v="213"/>
    <d v="2025-06-14T00:00:00"/>
    <x v="2"/>
    <x v="1"/>
    <x v="3"/>
    <s v="Smart Watch"/>
    <n v="4"/>
    <n v="318.24"/>
    <n v="0.15"/>
    <x v="212"/>
    <n v="761.2"/>
    <s v="Cancelled"/>
    <m/>
    <m/>
    <s v="No"/>
    <x v="3"/>
  </r>
  <r>
    <x v="214"/>
    <d v="2025-09-26T00:00:00"/>
    <x v="3"/>
    <x v="0"/>
    <x v="0"/>
    <s v="Running Shoes"/>
    <n v="2"/>
    <n v="226.54"/>
    <n v="0"/>
    <x v="213"/>
    <n v="258.5"/>
    <s v="Processing"/>
    <m/>
    <m/>
    <s v="No"/>
    <x v="0"/>
  </r>
  <r>
    <x v="215"/>
    <d v="2025-04-10T00:00:00"/>
    <x v="1"/>
    <x v="0"/>
    <x v="4"/>
    <s v="Olive Oil"/>
    <n v="4"/>
    <n v="45.52"/>
    <n v="0.15"/>
    <x v="214"/>
    <n v="110.05"/>
    <s v="Delivered"/>
    <n v="1"/>
    <n v="4"/>
    <s v="No"/>
    <x v="4"/>
  </r>
  <r>
    <x v="216"/>
    <d v="2025-01-29T00:00:00"/>
    <x v="2"/>
    <x v="1"/>
    <x v="4"/>
    <s v="Snack Bundle"/>
    <n v="1"/>
    <n v="36.22"/>
    <n v="0"/>
    <x v="215"/>
    <n v="16.559999999999999"/>
    <s v="Delivered"/>
    <n v="1"/>
    <n v="1"/>
    <s v="No"/>
    <x v="4"/>
  </r>
  <r>
    <x v="217"/>
    <d v="2025-02-05T00:00:00"/>
    <x v="1"/>
    <x v="2"/>
    <x v="1"/>
    <s v="Desk Lamp"/>
    <n v="1"/>
    <n v="80.14"/>
    <n v="0.05"/>
    <x v="216"/>
    <n v="31.73"/>
    <s v="Cancelled"/>
    <m/>
    <m/>
    <s v="No"/>
    <x v="1"/>
  </r>
  <r>
    <x v="218"/>
    <d v="2025-06-13T00:00:00"/>
    <x v="0"/>
    <x v="0"/>
    <x v="3"/>
    <s v="Smart Watch"/>
    <n v="5"/>
    <n v="297.06"/>
    <n v="0.05"/>
    <x v="217"/>
    <n v="897.21"/>
    <s v="Delivered"/>
    <n v="6"/>
    <n v="3"/>
    <s v="No"/>
    <x v="3"/>
  </r>
  <r>
    <x v="219"/>
    <d v="2025-11-26T00:00:00"/>
    <x v="2"/>
    <x v="0"/>
    <x v="2"/>
    <s v="Skincare Set"/>
    <n v="4"/>
    <n v="114.71"/>
    <n v="0.05"/>
    <x v="218"/>
    <n v="203.53"/>
    <s v="Delivered"/>
    <n v="3"/>
    <n v="4"/>
    <s v="No"/>
    <x v="2"/>
  </r>
  <r>
    <x v="220"/>
    <d v="2025-02-16T00:00:00"/>
    <x v="2"/>
    <x v="2"/>
    <x v="3"/>
    <s v="Smart Watch"/>
    <n v="1"/>
    <n v="317.22000000000003"/>
    <n v="0"/>
    <x v="219"/>
    <n v="186.78"/>
    <s v="Cancelled"/>
    <m/>
    <m/>
    <s v="No"/>
    <x v="3"/>
  </r>
  <r>
    <x v="221"/>
    <d v="2025-06-16T00:00:00"/>
    <x v="0"/>
    <x v="1"/>
    <x v="0"/>
    <s v="Cotton T-Shirt"/>
    <n v="1"/>
    <n v="48.45"/>
    <n v="0.05"/>
    <x v="220"/>
    <n v="19.75"/>
    <s v="Delivered"/>
    <n v="7"/>
    <n v="5"/>
    <s v="No"/>
    <x v="0"/>
  </r>
  <r>
    <x v="222"/>
    <d v="2025-09-14T00:00:00"/>
    <x v="1"/>
    <x v="1"/>
    <x v="3"/>
    <s v="USB-C Hub"/>
    <n v="4"/>
    <n v="90.91"/>
    <n v="0.1"/>
    <x v="221"/>
    <n v="200.83"/>
    <s v="Delivered"/>
    <n v="6"/>
    <n v="4"/>
    <s v="No"/>
    <x v="3"/>
  </r>
  <r>
    <x v="223"/>
    <d v="2025-03-15T00:00:00"/>
    <x v="0"/>
    <x v="0"/>
    <x v="2"/>
    <s v="Skincare Set"/>
    <n v="5"/>
    <n v="116.07"/>
    <n v="0"/>
    <x v="222"/>
    <n v="296.45999999999998"/>
    <s v="Delivered"/>
    <n v="1"/>
    <n v="5"/>
    <s v="No"/>
    <x v="2"/>
  </r>
  <r>
    <x v="224"/>
    <d v="2025-09-21T00:00:00"/>
    <x v="1"/>
    <x v="0"/>
    <x v="1"/>
    <s v="Desk Lamp"/>
    <n v="3"/>
    <n v="74.62"/>
    <n v="0.2"/>
    <x v="223"/>
    <n v="90.33"/>
    <s v="Delivered"/>
    <n v="1"/>
    <n v="4"/>
    <s v="No"/>
    <x v="1"/>
  </r>
  <r>
    <x v="225"/>
    <d v="2025-04-22T00:00:00"/>
    <x v="0"/>
    <x v="2"/>
    <x v="3"/>
    <s v="Smart Watch"/>
    <n v="3"/>
    <n v="320.14999999999998"/>
    <n v="0.15"/>
    <x v="224"/>
    <n v="612.97"/>
    <s v="Delivered"/>
    <n v="6"/>
    <n v="5"/>
    <s v="No"/>
    <x v="3"/>
  </r>
  <r>
    <x v="226"/>
    <d v="2025-10-23T00:00:00"/>
    <x v="0"/>
    <x v="0"/>
    <x v="2"/>
    <s v="Skincare Set"/>
    <n v="2"/>
    <n v="117.36"/>
    <n v="0.15"/>
    <x v="225"/>
    <n v="110.54"/>
    <s v="Returned"/>
    <n v="8"/>
    <n v="1"/>
    <s v="Yes"/>
    <x v="2"/>
  </r>
  <r>
    <x v="227"/>
    <d v="2025-07-31T00:00:00"/>
    <x v="0"/>
    <x v="0"/>
    <x v="1"/>
    <s v="Desk Lamp"/>
    <n v="3"/>
    <n v="70.22"/>
    <n v="0.1"/>
    <x v="226"/>
    <n v="98.69"/>
    <s v="Delivered"/>
    <n v="4"/>
    <n v="2"/>
    <s v="No"/>
    <x v="1"/>
  </r>
  <r>
    <x v="228"/>
    <d v="2025-07-19T00:00:00"/>
    <x v="1"/>
    <x v="0"/>
    <x v="0"/>
    <s v="Backpack"/>
    <n v="3"/>
    <n v="117.76"/>
    <n v="0.05"/>
    <x v="227"/>
    <n v="157.80000000000001"/>
    <s v="Delivered"/>
    <n v="2"/>
    <n v="4"/>
    <s v="No"/>
    <x v="0"/>
  </r>
  <r>
    <x v="229"/>
    <d v="2025-03-06T00:00:00"/>
    <x v="4"/>
    <x v="1"/>
    <x v="2"/>
    <s v="Skincare Set"/>
    <n v="3"/>
    <n v="125.93"/>
    <n v="0"/>
    <x v="228"/>
    <n v="155.25"/>
    <s v="Delivered"/>
    <n v="2"/>
    <n v="4"/>
    <s v="No"/>
    <x v="2"/>
  </r>
  <r>
    <x v="230"/>
    <d v="2025-06-19T00:00:00"/>
    <x v="2"/>
    <x v="0"/>
    <x v="0"/>
    <s v="Backpack"/>
    <n v="4"/>
    <n v="106.51"/>
    <n v="0.2"/>
    <x v="229"/>
    <n v="196.78"/>
    <s v="Delivered"/>
    <n v="5"/>
    <n v="3"/>
    <s v="No"/>
    <x v="0"/>
  </r>
  <r>
    <x v="231"/>
    <d v="2025-11-09T00:00:00"/>
    <x v="0"/>
    <x v="0"/>
    <x v="3"/>
    <s v="Smart Watch"/>
    <n v="1"/>
    <n v="290.52999999999997"/>
    <n v="0"/>
    <x v="230"/>
    <n v="178.09"/>
    <s v="Returned"/>
    <n v="7"/>
    <n v="1"/>
    <s v="Yes"/>
    <x v="3"/>
  </r>
  <r>
    <x v="232"/>
    <d v="2025-01-08T00:00:00"/>
    <x v="0"/>
    <x v="0"/>
    <x v="1"/>
    <s v="Desk Lamp"/>
    <n v="1"/>
    <n v="73.28"/>
    <n v="0.05"/>
    <x v="231"/>
    <n v="31.18"/>
    <s v="Delivered"/>
    <n v="3"/>
    <n v="2"/>
    <s v="No"/>
    <x v="1"/>
  </r>
  <r>
    <x v="233"/>
    <d v="2025-10-04T00:00:00"/>
    <x v="2"/>
    <x v="1"/>
    <x v="0"/>
    <s v="Running Shoes"/>
    <n v="3"/>
    <n v="240.2"/>
    <n v="0.15"/>
    <x v="232"/>
    <n v="391.99"/>
    <s v="Returned"/>
    <n v="1"/>
    <n v="4"/>
    <s v="Yes"/>
    <x v="0"/>
  </r>
  <r>
    <x v="234"/>
    <d v="2025-06-29T00:00:00"/>
    <x v="1"/>
    <x v="0"/>
    <x v="4"/>
    <s v="Snack Bundle"/>
    <n v="0"/>
    <n v="36.869999999999997"/>
    <n v="0.05"/>
    <x v="233"/>
    <n v="89.17"/>
    <s v="Cancelled"/>
    <m/>
    <m/>
    <s v="No"/>
    <x v="4"/>
  </r>
  <r>
    <x v="235"/>
    <d v="2025-09-20T00:00:00"/>
    <x v="3"/>
    <x v="1"/>
    <x v="4"/>
    <s v="Coffee Beans"/>
    <n v="3"/>
    <n v="67.03"/>
    <n v="0"/>
    <x v="234"/>
    <n v="94.4"/>
    <s v="Cancelled"/>
    <m/>
    <m/>
    <s v="No"/>
    <x v="4"/>
  </r>
  <r>
    <x v="236"/>
    <d v="2025-08-31T00:00:00"/>
    <x v="2"/>
    <x v="0"/>
    <x v="0"/>
    <s v="Backpack"/>
    <n v="5"/>
    <n v="105.07"/>
    <n v="0"/>
    <x v="235"/>
    <n v="256.43"/>
    <s v="Cancelled"/>
    <m/>
    <m/>
    <s v="No"/>
    <x v="0"/>
  </r>
  <r>
    <x v="237"/>
    <d v="2025-06-07T00:00:00"/>
    <x v="2"/>
    <x v="0"/>
    <x v="1"/>
    <s v="Desk Lamp"/>
    <n v="5"/>
    <n v="71.56"/>
    <n v="0.15"/>
    <x v="236"/>
    <n v="170.08"/>
    <s v="Delivered"/>
    <n v="6"/>
    <n v="3"/>
    <s v="No"/>
    <x v="1"/>
  </r>
  <r>
    <x v="238"/>
    <d v="2025-04-23T00:00:00"/>
    <x v="2"/>
    <x v="1"/>
    <x v="1"/>
    <s v="Storage Box Set"/>
    <n v="2"/>
    <n v="51.17"/>
    <n v="0.05"/>
    <x v="237"/>
    <n v="42.96"/>
    <s v="Processing"/>
    <m/>
    <m/>
    <s v="No"/>
    <x v="1"/>
  </r>
  <r>
    <x v="239"/>
    <d v="2025-08-17T00:00:00"/>
    <x v="0"/>
    <x v="2"/>
    <x v="1"/>
    <s v="Storage Box Set"/>
    <n v="4"/>
    <n v="60.14"/>
    <n v="0.1"/>
    <x v="238"/>
    <n v="92.76"/>
    <s v="Returned"/>
    <n v="5"/>
    <n v="1"/>
    <s v="Yes"/>
    <x v="1"/>
  </r>
  <r>
    <x v="240"/>
    <d v="2025-02-21T00:00:00"/>
    <x v="3"/>
    <x v="0"/>
    <x v="4"/>
    <s v="Coffee Beans"/>
    <n v="3"/>
    <n v="70.58"/>
    <n v="0"/>
    <x v="239"/>
    <n v="95.72"/>
    <s v="Delivered"/>
    <n v="5"/>
    <n v="2"/>
    <s v="No"/>
    <x v="4"/>
  </r>
  <r>
    <x v="241"/>
    <d v="2025-08-02T00:00:00"/>
    <x v="0"/>
    <x v="1"/>
    <x v="4"/>
    <s v="Snack Bundle"/>
    <n v="1"/>
    <n v="33.31"/>
    <n v="0.05"/>
    <x v="240"/>
    <n v="17.440000000000001"/>
    <s v="Delivered"/>
    <n v="3"/>
    <n v="5"/>
    <s v="No"/>
    <x v="4"/>
  </r>
  <r>
    <x v="242"/>
    <d v="2025-02-04T00:00:00"/>
    <x v="0"/>
    <x v="1"/>
    <x v="3"/>
    <s v="Wireless Headphones"/>
    <n v="2"/>
    <n v="187.85"/>
    <n v="0.1"/>
    <x v="241"/>
    <n v="188.26"/>
    <s v="Delivered"/>
    <n v="2"/>
    <n v="4"/>
    <s v="No"/>
    <x v="3"/>
  </r>
  <r>
    <x v="243"/>
    <d v="2025-08-26T00:00:00"/>
    <x v="1"/>
    <x v="1"/>
    <x v="4"/>
    <s v="Snack Bundle"/>
    <n v="2"/>
    <n v="32.11"/>
    <n v="0.15"/>
    <x v="242"/>
    <n v="31.9"/>
    <s v="Delivered"/>
    <n v="3"/>
    <n v="2"/>
    <s v="No"/>
    <x v="4"/>
  </r>
  <r>
    <x v="244"/>
    <d v="2025-08-18T00:00:00"/>
    <x v="3"/>
    <x v="0"/>
    <x v="1"/>
    <s v="Water Bottle"/>
    <n v="3"/>
    <n v="37.520000000000003"/>
    <n v="0.05"/>
    <x v="243"/>
    <n v="44.68"/>
    <s v="Returned"/>
    <n v="3"/>
    <n v="3"/>
    <s v="Yes"/>
    <x v="1"/>
  </r>
  <r>
    <x v="245"/>
    <d v="2025-01-31T00:00:00"/>
    <x v="3"/>
    <x v="1"/>
    <x v="0"/>
    <s v="Running Shoes"/>
    <n v="1"/>
    <n v="220.51"/>
    <n v="0.1"/>
    <x v="244"/>
    <n v="139.36000000000001"/>
    <s v="Delivered"/>
    <n v="4"/>
    <n v="1"/>
    <s v="No"/>
    <x v="0"/>
  </r>
  <r>
    <x v="246"/>
    <d v="2025-10-04T00:00:00"/>
    <x v="0"/>
    <x v="0"/>
    <x v="1"/>
    <s v="Water Bottle"/>
    <n v="2"/>
    <n v="38.369999999999997"/>
    <n v="0.05"/>
    <x v="245"/>
    <n v="26.03"/>
    <s v="Delivered"/>
    <n v="3"/>
    <n v="1"/>
    <s v="No"/>
    <x v="1"/>
  </r>
  <r>
    <x v="247"/>
    <d v="2025-06-01T00:00:00"/>
    <x v="3"/>
    <x v="0"/>
    <x v="1"/>
    <s v="Desk Lamp"/>
    <n v="2"/>
    <n v="72.680000000000007"/>
    <n v="0.05"/>
    <x v="246"/>
    <n v="64.349999999999994"/>
    <s v="Processing"/>
    <m/>
    <m/>
    <s v="No"/>
    <x v="1"/>
  </r>
  <r>
    <x v="248"/>
    <d v="2025-10-15T00:00:00"/>
    <x v="2"/>
    <x v="2"/>
    <x v="0"/>
    <s v="Running Shoes"/>
    <n v="5"/>
    <n v="259.67"/>
    <n v="0.05"/>
    <x v="247"/>
    <n v="680.54"/>
    <s v="Delivered"/>
    <n v="1"/>
    <n v="3"/>
    <s v="No"/>
    <x v="0"/>
  </r>
  <r>
    <x v="249"/>
    <d v="2025-01-16T00:00:00"/>
    <x v="2"/>
    <x v="2"/>
    <x v="2"/>
    <s v="Face Cleanser"/>
    <n v="1"/>
    <n v="41.64"/>
    <n v="0.1"/>
    <x v="248"/>
    <n v="18.72"/>
    <s v="Delivered"/>
    <n v="7"/>
    <n v="5"/>
    <s v="No"/>
    <x v="2"/>
  </r>
  <r>
    <x v="250"/>
    <d v="2025-03-07T00:00:00"/>
    <x v="2"/>
    <x v="0"/>
    <x v="0"/>
    <s v="Cotton T-Shirt"/>
    <n v="4"/>
    <n v="53.42"/>
    <n v="0.1"/>
    <x v="249"/>
    <n v="84.72"/>
    <s v="Delivered"/>
    <n v="1"/>
    <n v="1"/>
    <s v="No"/>
    <x v="0"/>
  </r>
  <r>
    <x v="251"/>
    <d v="2025-06-30T00:00:00"/>
    <x v="0"/>
    <x v="0"/>
    <x v="0"/>
    <s v="Cotton T-Shirt"/>
    <n v="3"/>
    <n v="48.39"/>
    <n v="0"/>
    <x v="250"/>
    <n v="61.96"/>
    <s v="Delivered"/>
    <n v="4"/>
    <n v="5"/>
    <s v="No"/>
    <x v="0"/>
  </r>
  <r>
    <x v="252"/>
    <d v="2025-03-10T00:00:00"/>
    <x v="2"/>
    <x v="0"/>
    <x v="3"/>
    <s v="Running Shoes"/>
    <n v="1"/>
    <n v="262.66000000000003"/>
    <n v="0"/>
    <x v="251"/>
    <n v="134.33000000000001"/>
    <s v="Processing"/>
    <m/>
    <m/>
    <s v="No"/>
    <x v="3"/>
  </r>
  <r>
    <x v="253"/>
    <d v="2025-05-01T00:00:00"/>
    <x v="1"/>
    <x v="1"/>
    <x v="3"/>
    <s v="Smart Watch"/>
    <n v="1"/>
    <n v="288.31"/>
    <n v="0"/>
    <x v="252"/>
    <n v="196.98"/>
    <s v="Cancelled"/>
    <m/>
    <m/>
    <s v="No"/>
    <x v="3"/>
  </r>
  <r>
    <x v="254"/>
    <d v="2025-08-30T00:00:00"/>
    <x v="2"/>
    <x v="1"/>
    <x v="2"/>
    <s v="Skincare Set"/>
    <n v="3"/>
    <n v="115.79"/>
    <n v="0.05"/>
    <x v="253"/>
    <n v="165.57"/>
    <s v="Delivered"/>
    <n v="4"/>
    <n v="4"/>
    <s v="No"/>
    <x v="2"/>
  </r>
  <r>
    <x v="255"/>
    <d v="2025-02-22T00:00:00"/>
    <x v="0"/>
    <x v="1"/>
    <x v="3"/>
    <s v="USB-C Hub"/>
    <n v="2"/>
    <n v="92.19"/>
    <n v="0"/>
    <x v="254"/>
    <n v="92.74"/>
    <s v="Delivered"/>
    <n v="7"/>
    <n v="3"/>
    <s v="No"/>
    <x v="3"/>
  </r>
  <r>
    <x v="256"/>
    <d v="2025-09-05T00:00:00"/>
    <x v="1"/>
    <x v="0"/>
    <x v="4"/>
    <s v="Olive Oil"/>
    <n v="1"/>
    <n v="47.07"/>
    <n v="0"/>
    <x v="255"/>
    <n v="25.19"/>
    <s v="Delivered"/>
    <n v="3"/>
    <n v="1"/>
    <s v="No"/>
    <x v="4"/>
  </r>
  <r>
    <x v="257"/>
    <d v="2025-02-07T00:00:00"/>
    <x v="0"/>
    <x v="0"/>
    <x v="2"/>
    <s v="Skincare Set"/>
    <n v="3"/>
    <n v="117.04"/>
    <n v="0.1"/>
    <x v="256"/>
    <n v="173.63"/>
    <s v="Delivered"/>
    <n v="1"/>
    <n v="4"/>
    <s v="No"/>
    <x v="2"/>
  </r>
  <r>
    <x v="258"/>
    <d v="2025-03-05T00:00:00"/>
    <x v="3"/>
    <x v="0"/>
    <x v="4"/>
    <s v="Olive Oil"/>
    <n v="2"/>
    <n v="43.86"/>
    <n v="0.1"/>
    <x v="257"/>
    <n v="51.15"/>
    <s v="Processing"/>
    <m/>
    <m/>
    <s v="No"/>
    <x v="4"/>
  </r>
  <r>
    <x v="259"/>
    <d v="2025-08-03T00:00:00"/>
    <x v="0"/>
    <x v="0"/>
    <x v="0"/>
    <s v="Running Shoes"/>
    <n v="1"/>
    <n v="256.11"/>
    <n v="0.15"/>
    <x v="258"/>
    <n v="121.45"/>
    <s v="Delivered"/>
    <n v="5"/>
    <n v="5"/>
    <s v="No"/>
    <x v="0"/>
  </r>
  <r>
    <x v="260"/>
    <d v="2025-10-17T00:00:00"/>
    <x v="1"/>
    <x v="0"/>
    <x v="1"/>
    <s v="Storage Box Set"/>
    <n v="3"/>
    <n v="58.25"/>
    <n v="0.05"/>
    <x v="259"/>
    <n v="65.88"/>
    <s v="Delivered"/>
    <n v="5"/>
    <n v="3"/>
    <s v="No"/>
    <x v="1"/>
  </r>
  <r>
    <x v="261"/>
    <d v="2025-03-04T00:00:00"/>
    <x v="0"/>
    <x v="0"/>
    <x v="3"/>
    <s v="USB-C Hub"/>
    <n v="2"/>
    <n v="98.14"/>
    <n v="0.15"/>
    <x v="260"/>
    <n v="98.84"/>
    <s v="Delivered"/>
    <n v="1"/>
    <n v="2"/>
    <s v="No"/>
    <x v="3"/>
  </r>
  <r>
    <x v="262"/>
    <d v="2025-04-20T00:00:00"/>
    <x v="0"/>
    <x v="1"/>
    <x v="2"/>
    <s v="Skincare Set"/>
    <n v="3"/>
    <n v="115.33"/>
    <n v="0"/>
    <x v="261"/>
    <n v="158.41999999999999"/>
    <s v="Returned"/>
    <n v="3"/>
    <n v="6"/>
    <s v="Yes"/>
    <x v="2"/>
  </r>
  <r>
    <x v="263"/>
    <d v="2025-12-04T00:00:00"/>
    <x v="0"/>
    <x v="0"/>
    <x v="3"/>
    <s v="Smart Watch"/>
    <n v="3"/>
    <n v="303.2"/>
    <n v="0.15"/>
    <x v="262"/>
    <n v="538.13"/>
    <s v="Processing"/>
    <m/>
    <m/>
    <s v="No"/>
    <x v="3"/>
  </r>
  <r>
    <x v="264"/>
    <d v="2025-12-28T00:00:00"/>
    <x v="3"/>
    <x v="0"/>
    <x v="0"/>
    <s v="Running Shoes"/>
    <n v="5"/>
    <n v="251.91"/>
    <n v="0"/>
    <x v="263"/>
    <n v="605.47"/>
    <s v="Cancelled"/>
    <m/>
    <m/>
    <s v="No"/>
    <x v="0"/>
  </r>
  <r>
    <x v="265"/>
    <d v="2025-08-01T00:00:00"/>
    <x v="0"/>
    <x v="2"/>
    <x v="3"/>
    <s v="Smart Watch"/>
    <n v="2"/>
    <n v="304.49"/>
    <n v="0.2"/>
    <x v="264"/>
    <n v="361.12"/>
    <s v="Processing"/>
    <m/>
    <m/>
    <s v="No"/>
    <x v="3"/>
  </r>
  <r>
    <x v="266"/>
    <d v="2025-06-13T00:00:00"/>
    <x v="2"/>
    <x v="0"/>
    <x v="0"/>
    <s v="Running Shoes"/>
    <n v="4"/>
    <n v="258.83999999999997"/>
    <n v="0.1"/>
    <x v="265"/>
    <n v="545.44000000000005"/>
    <s v="Delivered"/>
    <n v="2"/>
    <n v="5"/>
    <s v="No"/>
    <x v="0"/>
  </r>
  <r>
    <x v="267"/>
    <d v="2025-05-07T00:00:00"/>
    <x v="2"/>
    <x v="0"/>
    <x v="4"/>
    <s v="Coffee Beans"/>
    <n v="3"/>
    <n v="63.92"/>
    <n v="0.2"/>
    <x v="266"/>
    <n v="102.61"/>
    <s v="Processing"/>
    <m/>
    <m/>
    <s v="No"/>
    <x v="4"/>
  </r>
  <r>
    <x v="268"/>
    <d v="2025-08-12T00:00:00"/>
    <x v="3"/>
    <x v="0"/>
    <x v="1"/>
    <s v="Water Bottle"/>
    <n v="3"/>
    <n v="43.45"/>
    <n v="0"/>
    <x v="267"/>
    <n v="39.47"/>
    <s v="Delivered"/>
    <n v="2"/>
    <n v="1"/>
    <s v="No"/>
    <x v="1"/>
  </r>
  <r>
    <x v="269"/>
    <d v="2025-08-04T00:00:00"/>
    <x v="4"/>
    <x v="2"/>
    <x v="0"/>
    <s v="Cotton T-Shirt"/>
    <n v="1"/>
    <n v="51.32"/>
    <n v="0.1"/>
    <x v="268"/>
    <n v="20.82"/>
    <s v="Delivered"/>
    <n v="8"/>
    <n v="3"/>
    <s v="No"/>
    <x v="0"/>
  </r>
  <r>
    <x v="270"/>
    <d v="2025-04-18T00:00:00"/>
    <x v="3"/>
    <x v="1"/>
    <x v="1"/>
    <s v="Water Bottle"/>
    <n v="4"/>
    <n v="40.700000000000003"/>
    <n v="0.2"/>
    <x v="269"/>
    <n v="57.47"/>
    <s v="Delivered"/>
    <n v="4"/>
    <n v="3"/>
    <s v="No"/>
    <x v="1"/>
  </r>
  <r>
    <x v="271"/>
    <d v="2025-01-09T00:00:00"/>
    <x v="2"/>
    <x v="2"/>
    <x v="3"/>
    <s v="Wireless Headphones"/>
    <n v="4"/>
    <n v="182.58"/>
    <n v="0.05"/>
    <x v="270"/>
    <n v="352.58"/>
    <s v="Delivered"/>
    <n v="7"/>
    <n v="3"/>
    <s v="No"/>
    <x v="3"/>
  </r>
  <r>
    <x v="272"/>
    <d v="2025-02-25T00:00:00"/>
    <x v="2"/>
    <x v="0"/>
    <x v="0"/>
    <s v="Backpack"/>
    <n v="4"/>
    <n v="116.39"/>
    <n v="0.1"/>
    <x v="271"/>
    <n v="212.15"/>
    <s v="Returned"/>
    <n v="5"/>
    <n v="1"/>
    <s v="Yes"/>
    <x v="0"/>
  </r>
  <r>
    <x v="273"/>
    <d v="2025-12-16T00:00:00"/>
    <x v="0"/>
    <x v="2"/>
    <x v="2"/>
    <s v="Skincare Set"/>
    <n v="5"/>
    <n v="110.17"/>
    <n v="0.1"/>
    <x v="272"/>
    <n v="279.06"/>
    <s v="Returned"/>
    <n v="8"/>
    <n v="5"/>
    <s v="Yes"/>
    <x v="2"/>
  </r>
  <r>
    <x v="274"/>
    <d v="2025-06-02T00:00:00"/>
    <x v="2"/>
    <x v="0"/>
    <x v="0"/>
    <s v="Cotton T-Shirt"/>
    <n v="3"/>
    <n v="49.46"/>
    <n v="0"/>
    <x v="273"/>
    <n v="63.5"/>
    <s v="Delivered"/>
    <n v="6"/>
    <n v="2"/>
    <s v="No"/>
    <x v="0"/>
  </r>
  <r>
    <x v="275"/>
    <d v="2025-06-26T00:00:00"/>
    <x v="0"/>
    <x v="0"/>
    <x v="3"/>
    <s v="Wireless Headphones"/>
    <n v="2"/>
    <n v="195.99"/>
    <n v="0.05"/>
    <x v="274"/>
    <n v="190.16"/>
    <s v="Delivered"/>
    <n v="2"/>
    <n v="2"/>
    <s v="No"/>
    <x v="3"/>
  </r>
  <r>
    <x v="276"/>
    <d v="2025-06-20T00:00:00"/>
    <x v="1"/>
    <x v="0"/>
    <x v="4"/>
    <s v="Olive Oil"/>
    <n v="2"/>
    <n v="50.91"/>
    <n v="0.1"/>
    <x v="275"/>
    <n v="50.64"/>
    <s v="Returned"/>
    <n v="5"/>
    <n v="1"/>
    <s v="Yes"/>
    <x v="4"/>
  </r>
  <r>
    <x v="277"/>
    <d v="2025-10-13T00:00:00"/>
    <x v="4"/>
    <x v="2"/>
    <x v="4"/>
    <s v="Coffee Beans"/>
    <n v="5"/>
    <n v="65.680000000000007"/>
    <n v="0.05"/>
    <x v="276"/>
    <n v="162.16"/>
    <s v="Returned"/>
    <n v="2"/>
    <n v="1"/>
    <s v="Yes"/>
    <x v="4"/>
  </r>
  <r>
    <x v="278"/>
    <d v="2025-01-24T00:00:00"/>
    <x v="1"/>
    <x v="2"/>
    <x v="0"/>
    <s v="Cotton T-Shirt"/>
    <n v="5"/>
    <n v="47.77"/>
    <n v="0.15"/>
    <x v="277"/>
    <n v="92.85"/>
    <s v="Processing"/>
    <m/>
    <m/>
    <s v="No"/>
    <x v="0"/>
  </r>
  <r>
    <x v="279"/>
    <d v="2025-01-31T00:00:00"/>
    <x v="0"/>
    <x v="1"/>
    <x v="0"/>
    <s v="Cotton T-Shirt"/>
    <n v="5"/>
    <n v="46.19"/>
    <n v="0.05"/>
    <x v="278"/>
    <n v="93.55"/>
    <s v="Delivered"/>
    <n v="3"/>
    <n v="1"/>
    <s v="No"/>
    <x v="0"/>
  </r>
  <r>
    <x v="280"/>
    <d v="2025-04-11T00:00:00"/>
    <x v="3"/>
    <x v="1"/>
    <x v="1"/>
    <s v="Water Bottle"/>
    <n v="3"/>
    <n v="37.31"/>
    <n v="0"/>
    <x v="279"/>
    <n v="42.43"/>
    <s v="Cancelled"/>
    <m/>
    <m/>
    <s v="No"/>
    <x v="1"/>
  </r>
  <r>
    <x v="281"/>
    <d v="2025-06-27T00:00:00"/>
    <x v="3"/>
    <x v="2"/>
    <x v="3"/>
    <s v="Smart Watch"/>
    <n v="5"/>
    <n v="341.06"/>
    <n v="0.15"/>
    <x v="280"/>
    <n v="969.96"/>
    <s v="Returned"/>
    <n v="5"/>
    <n v="4"/>
    <s v="Yes"/>
    <x v="3"/>
  </r>
  <r>
    <x v="282"/>
    <d v="2025-09-02T00:00:00"/>
    <x v="2"/>
    <x v="2"/>
    <x v="3"/>
    <s v="Wireless Headphones"/>
    <n v="5"/>
    <n v="190.13"/>
    <n v="0.1"/>
    <x v="281"/>
    <n v="465.67"/>
    <s v="Delivered"/>
    <n v="1"/>
    <n v="1"/>
    <s v="No"/>
    <x v="3"/>
  </r>
  <r>
    <x v="283"/>
    <d v="2025-06-29T00:00:00"/>
    <x v="0"/>
    <x v="0"/>
    <x v="1"/>
    <s v="Storage Box Set"/>
    <n v="5"/>
    <n v="53.63"/>
    <n v="0.05"/>
    <x v="282"/>
    <n v="118.27"/>
    <s v="Delivered"/>
    <n v="8"/>
    <n v="2"/>
    <s v="No"/>
    <x v="1"/>
  </r>
  <r>
    <x v="284"/>
    <d v="2025-06-11T00:00:00"/>
    <x v="0"/>
    <x v="0"/>
    <x v="2"/>
    <s v="Skincare Set"/>
    <n v="3"/>
    <n v="130.80000000000001"/>
    <n v="0.1"/>
    <x v="283"/>
    <n v="159.33000000000001"/>
    <s v="Delivered"/>
    <n v="6"/>
    <n v="2"/>
    <s v="No"/>
    <x v="2"/>
  </r>
  <r>
    <x v="285"/>
    <d v="2025-12-09T00:00:00"/>
    <x v="2"/>
    <x v="0"/>
    <x v="3"/>
    <s v="Smart Watch"/>
    <n v="5"/>
    <n v="335.79"/>
    <n v="0.1"/>
    <x v="284"/>
    <n v="952.52"/>
    <s v="Processing"/>
    <m/>
    <m/>
    <s v="No"/>
    <x v="3"/>
  </r>
  <r>
    <x v="286"/>
    <d v="2025-02-28T00:00:00"/>
    <x v="3"/>
    <x v="1"/>
    <x v="3"/>
    <s v="USB-C Hub"/>
    <n v="1"/>
    <n v="104.42"/>
    <n v="0.1"/>
    <x v="285"/>
    <n v="44.28"/>
    <s v="Processing"/>
    <m/>
    <m/>
    <s v="No"/>
    <x v="3"/>
  </r>
  <r>
    <x v="287"/>
    <d v="2025-07-28T00:00:00"/>
    <x v="1"/>
    <x v="0"/>
    <x v="2"/>
    <s v="Hair Dryer"/>
    <n v="1"/>
    <n v="160.77000000000001"/>
    <n v="0.1"/>
    <x v="286"/>
    <n v="73.290000000000006"/>
    <s v="Processing"/>
    <m/>
    <m/>
    <s v="No"/>
    <x v="2"/>
  </r>
  <r>
    <x v="288"/>
    <d v="2025-07-17T00:00:00"/>
    <x v="0"/>
    <x v="0"/>
    <x v="4"/>
    <s v="Snack Bundle"/>
    <n v="1"/>
    <n v="31.53"/>
    <n v="0"/>
    <x v="287"/>
    <n v="16.850000000000001"/>
    <s v="Returned"/>
    <n v="3"/>
    <n v="1"/>
    <s v="Yes"/>
    <x v="4"/>
  </r>
  <r>
    <x v="289"/>
    <d v="2025-06-22T00:00:00"/>
    <x v="1"/>
    <x v="0"/>
    <x v="0"/>
    <s v="Backpack"/>
    <n v="4"/>
    <n v="101.74"/>
    <n v="0.1"/>
    <x v="288"/>
    <n v="201.19"/>
    <s v="Returned"/>
    <n v="3"/>
    <n v="3"/>
    <s v="Yes"/>
    <x v="0"/>
  </r>
  <r>
    <x v="290"/>
    <d v="2025-10-22T00:00:00"/>
    <x v="0"/>
    <x v="0"/>
    <x v="4"/>
    <s v="Snack Bundle"/>
    <n v="5"/>
    <n v="36.17"/>
    <n v="0.05"/>
    <x v="289"/>
    <n v="84.41"/>
    <s v="Processing"/>
    <m/>
    <m/>
    <s v="No"/>
    <x v="4"/>
  </r>
  <r>
    <x v="291"/>
    <d v="2025-04-08T00:00:00"/>
    <x v="4"/>
    <x v="2"/>
    <x v="0"/>
    <s v="Cotton T-Shirt"/>
    <n v="5"/>
    <n v="48.51"/>
    <n v="0.1"/>
    <x v="290"/>
    <n v="106.19"/>
    <s v="Delivered"/>
    <n v="3"/>
    <n v="4"/>
    <s v="No"/>
    <x v="0"/>
  </r>
  <r>
    <x v="292"/>
    <d v="2025-12-15T00:00:00"/>
    <x v="1"/>
    <x v="1"/>
    <x v="1"/>
    <s v="Desk Lamp"/>
    <n v="3"/>
    <n v="80.41"/>
    <n v="0"/>
    <x v="291"/>
    <n v="100.96"/>
    <s v="Returned"/>
    <n v="8"/>
    <n v="2"/>
    <s v="Yes"/>
    <x v="1"/>
  </r>
  <r>
    <x v="293"/>
    <d v="2025-05-02T00:00:00"/>
    <x v="2"/>
    <x v="0"/>
    <x v="4"/>
    <s v="Coffee Beans"/>
    <n v="5"/>
    <n v="65.78"/>
    <n v="0.05"/>
    <x v="292"/>
    <n v="165.72"/>
    <s v="Delivered"/>
    <n v="8"/>
    <n v="1"/>
    <s v="No"/>
    <x v="4"/>
  </r>
  <r>
    <x v="294"/>
    <d v="2025-07-18T00:00:00"/>
    <x v="0"/>
    <x v="1"/>
    <x v="2"/>
    <s v="Face Cleanser"/>
    <n v="5"/>
    <n v="45.19"/>
    <n v="0.1"/>
    <x v="293"/>
    <n v="88.97"/>
    <s v="Delivered"/>
    <n v="4"/>
    <n v="2"/>
    <s v="No"/>
    <x v="2"/>
  </r>
  <r>
    <x v="295"/>
    <d v="2025-07-10T00:00:00"/>
    <x v="1"/>
    <x v="2"/>
    <x v="0"/>
    <s v="Running Shoes"/>
    <n v="5"/>
    <n v="257.42"/>
    <n v="0.1"/>
    <x v="294"/>
    <n v="628.27"/>
    <s v="Cancelled"/>
    <m/>
    <m/>
    <s v="No"/>
    <x v="0"/>
  </r>
  <r>
    <x v="296"/>
    <d v="2025-11-07T00:00:00"/>
    <x v="3"/>
    <x v="0"/>
    <x v="0"/>
    <s v="Running Shoes"/>
    <n v="4"/>
    <n v="263.67"/>
    <n v="0.15"/>
    <x v="295"/>
    <n v="513.36"/>
    <s v="Delivered"/>
    <n v="7"/>
    <n v="5"/>
    <s v="No"/>
    <x v="0"/>
  </r>
  <r>
    <x v="297"/>
    <d v="2025-06-10T00:00:00"/>
    <x v="2"/>
    <x v="0"/>
    <x v="1"/>
    <s v="Water Bottle"/>
    <n v="3"/>
    <n v="37.81"/>
    <n v="0"/>
    <x v="296"/>
    <n v="44.29"/>
    <s v="Delivered"/>
    <n v="5"/>
    <n v="2"/>
    <s v="No"/>
    <x v="1"/>
  </r>
  <r>
    <x v="298"/>
    <d v="2025-04-14T00:00:00"/>
    <x v="2"/>
    <x v="0"/>
    <x v="2"/>
    <s v="Hair Dryer"/>
    <n v="5"/>
    <n v="137.1"/>
    <n v="0.15"/>
    <x v="297"/>
    <n v="394.67"/>
    <s v="Delivered"/>
    <n v="4"/>
    <n v="2"/>
    <s v="No"/>
    <x v="2"/>
  </r>
  <r>
    <x v="299"/>
    <d v="2025-01-08T00:00:00"/>
    <x v="3"/>
    <x v="0"/>
    <x v="2"/>
    <s v="Hair Dryer"/>
    <n v="2"/>
    <n v="149.16"/>
    <n v="0.05"/>
    <x v="298"/>
    <n v="163.93"/>
    <s v="Processing"/>
    <m/>
    <m/>
    <s v="No"/>
    <x v="2"/>
  </r>
  <r>
    <x v="300"/>
    <d v="2025-05-13T00:00:00"/>
    <x v="0"/>
    <x v="2"/>
    <x v="4"/>
    <s v="Snack Bundle"/>
    <n v="5"/>
    <n v="35.58"/>
    <n v="0"/>
    <x v="299"/>
    <n v="82.08"/>
    <s v="Cancelled"/>
    <m/>
    <m/>
    <s v="No"/>
    <x v="4"/>
  </r>
  <r>
    <x v="301"/>
    <d v="2025-10-29T00:00:00"/>
    <x v="1"/>
    <x v="1"/>
    <x v="1"/>
    <s v="Water Bottle"/>
    <n v="3"/>
    <n v="39.049999999999997"/>
    <n v="0.15"/>
    <x v="300"/>
    <n v="44.52"/>
    <s v="Delivered"/>
    <n v="2"/>
    <n v="1"/>
    <s v="No"/>
    <x v="1"/>
  </r>
  <r>
    <x v="302"/>
    <d v="2025-01-04T00:00:00"/>
    <x v="2"/>
    <x v="1"/>
    <x v="4"/>
    <s v="Snack Bundle"/>
    <n v="1"/>
    <n v="37.6"/>
    <n v="0.05"/>
    <x v="301"/>
    <n v="17.510000000000002"/>
    <s v="Processing"/>
    <m/>
    <m/>
    <s v="No"/>
    <x v="4"/>
  </r>
  <r>
    <x v="303"/>
    <d v="2025-11-24T00:00:00"/>
    <x v="3"/>
    <x v="1"/>
    <x v="0"/>
    <s v="Backpack"/>
    <n v="1"/>
    <n v="104.06"/>
    <n v="0.15"/>
    <x v="302"/>
    <n v="49.26"/>
    <s v="Delivered"/>
    <n v="1"/>
    <n v="2"/>
    <s v="No"/>
    <x v="0"/>
  </r>
  <r>
    <x v="304"/>
    <d v="2025-07-18T00:00:00"/>
    <x v="0"/>
    <x v="2"/>
    <x v="1"/>
    <s v="Water Bottle"/>
    <n v="1"/>
    <n v="37.81"/>
    <n v="0.15"/>
    <x v="303"/>
    <n v="14.01"/>
    <s v="Delivered"/>
    <n v="8"/>
    <n v="3"/>
    <s v="No"/>
    <x v="1"/>
  </r>
  <r>
    <x v="305"/>
    <d v="2025-02-21T00:00:00"/>
    <x v="4"/>
    <x v="0"/>
    <x v="4"/>
    <s v="Snack Bundle"/>
    <n v="2"/>
    <n v="32.68"/>
    <n v="0.05"/>
    <x v="304"/>
    <n v="35.31"/>
    <s v="Delivered"/>
    <n v="2"/>
    <n v="2"/>
    <s v="No"/>
    <x v="4"/>
  </r>
  <r>
    <x v="306"/>
    <d v="2025-04-21T00:00:00"/>
    <x v="2"/>
    <x v="0"/>
    <x v="4"/>
    <s v="Olive Oil"/>
    <n v="1"/>
    <n v="48.53"/>
    <n v="0"/>
    <x v="305"/>
    <n v="26.28"/>
    <s v="Delivered"/>
    <n v="3"/>
    <n v="1"/>
    <s v="No"/>
    <x v="4"/>
  </r>
  <r>
    <x v="307"/>
    <d v="2025-07-22T00:00:00"/>
    <x v="3"/>
    <x v="0"/>
    <x v="0"/>
    <s v="Backpack"/>
    <n v="1"/>
    <n v="117.58"/>
    <n v="0"/>
    <x v="306"/>
    <n v="49.3"/>
    <s v="Processing"/>
    <m/>
    <m/>
    <s v="No"/>
    <x v="0"/>
  </r>
  <r>
    <x v="308"/>
    <d v="2025-04-26T00:00:00"/>
    <x v="3"/>
    <x v="1"/>
    <x v="0"/>
    <s v="Running Shoes"/>
    <n v="2"/>
    <n v="239.86"/>
    <n v="0"/>
    <x v="307"/>
    <n v="240.57"/>
    <s v="Returned"/>
    <n v="2"/>
    <n v="1"/>
    <s v="Yes"/>
    <x v="0"/>
  </r>
  <r>
    <x v="309"/>
    <d v="2025-02-09T00:00:00"/>
    <x v="2"/>
    <x v="2"/>
    <x v="4"/>
    <s v="Coffee Beans"/>
    <n v="3"/>
    <n v="67.58"/>
    <n v="0.15"/>
    <x v="308"/>
    <n v="104.84"/>
    <s v="Cancelled"/>
    <m/>
    <m/>
    <s v="No"/>
    <x v="4"/>
  </r>
  <r>
    <x v="310"/>
    <d v="2025-09-01T00:00:00"/>
    <x v="3"/>
    <x v="1"/>
    <x v="4"/>
    <s v="Snack Bundle"/>
    <n v="1"/>
    <n v="32.01"/>
    <n v="0"/>
    <x v="309"/>
    <n v="18.21"/>
    <s v="Delivered"/>
    <n v="4"/>
    <n v="5"/>
    <s v="No"/>
    <x v="4"/>
  </r>
  <r>
    <x v="311"/>
    <d v="2025-09-03T00:00:00"/>
    <x v="2"/>
    <x v="2"/>
    <x v="3"/>
    <s v="USB-C Hub"/>
    <n v="2"/>
    <n v="86.43"/>
    <n v="0.15"/>
    <x v="310"/>
    <n v="99.9"/>
    <s v="Cancelled"/>
    <m/>
    <m/>
    <s v="No"/>
    <x v="3"/>
  </r>
  <r>
    <x v="312"/>
    <d v="2025-02-13T00:00:00"/>
    <x v="2"/>
    <x v="0"/>
    <x v="2"/>
    <s v="Skincare Set"/>
    <n v="2"/>
    <n v="110.81"/>
    <n v="0"/>
    <x v="311"/>
    <n v="103.02"/>
    <s v="Delivered"/>
    <n v="6"/>
    <n v="4"/>
    <s v="No"/>
    <x v="2"/>
  </r>
  <r>
    <x v="313"/>
    <d v="2025-04-13T00:00:00"/>
    <x v="0"/>
    <x v="2"/>
    <x v="0"/>
    <s v="Cotton T-Shirt"/>
    <n v="4"/>
    <n v="48.85"/>
    <n v="0.15"/>
    <x v="312"/>
    <n v="84.3"/>
    <s v="Delivered"/>
    <n v="2"/>
    <n v="5"/>
    <s v="No"/>
    <x v="0"/>
  </r>
  <r>
    <x v="314"/>
    <d v="2025-03-31T00:00:00"/>
    <x v="1"/>
    <x v="2"/>
    <x v="4"/>
    <s v="Coffee Beans"/>
    <n v="3"/>
    <n v="63.09"/>
    <n v="0.1"/>
    <x v="313"/>
    <n v="104.93"/>
    <s v="Cancelled"/>
    <m/>
    <m/>
    <s v="No"/>
    <x v="4"/>
  </r>
  <r>
    <x v="315"/>
    <d v="2025-08-29T00:00:00"/>
    <x v="3"/>
    <x v="0"/>
    <x v="3"/>
    <s v="USB-C Hub"/>
    <n v="3"/>
    <n v="90.15"/>
    <n v="0"/>
    <x v="314"/>
    <n v="140.06"/>
    <s v="Processing"/>
    <m/>
    <m/>
    <s v="No"/>
    <x v="3"/>
  </r>
  <r>
    <x v="316"/>
    <d v="2025-09-24T00:00:00"/>
    <x v="2"/>
    <x v="0"/>
    <x v="3"/>
    <s v="Wireless Headphones"/>
    <n v="1"/>
    <n v="186.97"/>
    <n v="0.15"/>
    <x v="315"/>
    <n v="88.01"/>
    <s v="Delivered"/>
    <n v="1"/>
    <n v="4"/>
    <s v="No"/>
    <x v="3"/>
  </r>
  <r>
    <x v="317"/>
    <d v="2025-09-23T00:00:00"/>
    <x v="1"/>
    <x v="1"/>
    <x v="2"/>
    <s v="Hair Dryer"/>
    <n v="1"/>
    <n v="155.37"/>
    <n v="0"/>
    <x v="316"/>
    <n v="72.430000000000007"/>
    <s v="Returned"/>
    <n v="8"/>
    <n v="4"/>
    <s v="Yes"/>
    <x v="2"/>
  </r>
  <r>
    <x v="318"/>
    <d v="2025-12-09T00:00:00"/>
    <x v="2"/>
    <x v="1"/>
    <x v="2"/>
    <s v="Skincare Set"/>
    <n v="2"/>
    <n v="125.67"/>
    <n v="0.15"/>
    <x v="317"/>
    <n v="105.11"/>
    <s v="Returned"/>
    <n v="4"/>
    <n v="4"/>
    <s v="Yes"/>
    <x v="2"/>
  </r>
  <r>
    <x v="319"/>
    <d v="2025-10-08T00:00:00"/>
    <x v="4"/>
    <x v="0"/>
    <x v="0"/>
    <s v="Cotton T-Shirt"/>
    <n v="5"/>
    <n v="48.72"/>
    <n v="0"/>
    <x v="318"/>
    <n v="92.73"/>
    <s v="Processing"/>
    <m/>
    <m/>
    <s v="No"/>
    <x v="0"/>
  </r>
  <r>
    <x v="320"/>
    <d v="2025-04-28T00:00:00"/>
    <x v="3"/>
    <x v="0"/>
    <x v="2"/>
    <s v="Face Cleanser"/>
    <n v="2"/>
    <n v="45.79"/>
    <n v="0"/>
    <x v="319"/>
    <n v="34.46"/>
    <s v="Processing"/>
    <m/>
    <m/>
    <s v="No"/>
    <x v="2"/>
  </r>
  <r>
    <x v="321"/>
    <d v="2025-02-09T00:00:00"/>
    <x v="1"/>
    <x v="2"/>
    <x v="1"/>
    <s v="Desk Lamp"/>
    <n v="2"/>
    <n v="72.31"/>
    <n v="0.15"/>
    <x v="320"/>
    <n v="66.64"/>
    <s v="Delivered"/>
    <n v="8"/>
    <n v="3"/>
    <s v="No"/>
    <x v="1"/>
  </r>
  <r>
    <x v="322"/>
    <d v="2025-08-13T00:00:00"/>
    <x v="2"/>
    <x v="0"/>
    <x v="0"/>
    <s v="Running Shoes"/>
    <n v="3"/>
    <n v="241.21"/>
    <n v="0.05"/>
    <x v="321"/>
    <n v="378.63"/>
    <s v="Delivered"/>
    <n v="1"/>
    <n v="5"/>
    <s v="No"/>
    <x v="0"/>
  </r>
  <r>
    <x v="323"/>
    <d v="2025-12-01T00:00:00"/>
    <x v="0"/>
    <x v="0"/>
    <x v="2"/>
    <s v="Hair Dryer"/>
    <n v="2"/>
    <n v="153.63999999999999"/>
    <n v="0"/>
    <x v="322"/>
    <n v="154.94999999999999"/>
    <s v="Returned"/>
    <n v="8"/>
    <n v="1"/>
    <s v="Yes"/>
    <x v="2"/>
  </r>
  <r>
    <x v="324"/>
    <d v="2025-12-22T00:00:00"/>
    <x v="0"/>
    <x v="2"/>
    <x v="3"/>
    <s v="Wireless Headphones"/>
    <n v="2"/>
    <n v="181.05"/>
    <n v="0.05"/>
    <x v="323"/>
    <n v="174.83"/>
    <s v="Delivered"/>
    <n v="2"/>
    <n v="2"/>
    <s v="No"/>
    <x v="3"/>
  </r>
  <r>
    <x v="325"/>
    <d v="2025-03-26T00:00:00"/>
    <x v="0"/>
    <x v="0"/>
    <x v="2"/>
    <s v="Skincare Set"/>
    <n v="2"/>
    <n v="130.59"/>
    <n v="0"/>
    <x v="324"/>
    <n v="103.11"/>
    <s v="Delivered"/>
    <n v="8"/>
    <n v="5"/>
    <s v="No"/>
    <x v="2"/>
  </r>
  <r>
    <x v="326"/>
    <d v="2025-03-28T00:00:00"/>
    <x v="3"/>
    <x v="0"/>
    <x v="0"/>
    <s v="Backpack"/>
    <n v="4"/>
    <n v="100.95"/>
    <n v="0.2"/>
    <x v="325"/>
    <n v="223.79"/>
    <s v="Delivered"/>
    <n v="2"/>
    <n v="1"/>
    <s v="No"/>
    <x v="0"/>
  </r>
  <r>
    <x v="327"/>
    <d v="2025-01-14T00:00:00"/>
    <x v="1"/>
    <x v="0"/>
    <x v="4"/>
    <s v="Snack Bundle"/>
    <n v="2"/>
    <n v="34.15"/>
    <n v="0.2"/>
    <x v="326"/>
    <n v="34.81"/>
    <s v="Delivered"/>
    <n v="4"/>
    <n v="5"/>
    <s v="No"/>
    <x v="4"/>
  </r>
  <r>
    <x v="328"/>
    <d v="2025-02-21T00:00:00"/>
    <x v="0"/>
    <x v="0"/>
    <x v="2"/>
    <s v="Hair Dryer"/>
    <n v="4"/>
    <n v="151"/>
    <n v="0"/>
    <x v="327"/>
    <n v="320.66000000000003"/>
    <s v="Delivered"/>
    <n v="4"/>
    <n v="2"/>
    <s v="No"/>
    <x v="2"/>
  </r>
  <r>
    <x v="329"/>
    <d v="2025-07-22T00:00:00"/>
    <x v="3"/>
    <x v="0"/>
    <x v="3"/>
    <s v="USB-C Hub"/>
    <n v="2"/>
    <n v="85.64"/>
    <n v="0.2"/>
    <x v="328"/>
    <n v="90.79"/>
    <s v="Processing"/>
    <m/>
    <m/>
    <s v="No"/>
    <x v="3"/>
  </r>
  <r>
    <x v="330"/>
    <d v="2025-07-19T00:00:00"/>
    <x v="0"/>
    <x v="2"/>
    <x v="0"/>
    <s v="Running Shoes"/>
    <n v="4"/>
    <n v="233.53"/>
    <n v="0.1"/>
    <x v="329"/>
    <n v="536.41"/>
    <s v="Delivered"/>
    <n v="5"/>
    <n v="4"/>
    <s v="No"/>
    <x v="0"/>
  </r>
  <r>
    <x v="331"/>
    <d v="2025-05-16T00:00:00"/>
    <x v="0"/>
    <x v="1"/>
    <x v="0"/>
    <s v="Cotton T-Shirt"/>
    <n v="4"/>
    <n v="45.86"/>
    <n v="0"/>
    <x v="330"/>
    <n v="76.73"/>
    <s v="Delivered"/>
    <n v="7"/>
    <n v="2"/>
    <s v="No"/>
    <x v="0"/>
  </r>
  <r>
    <x v="332"/>
    <d v="2025-04-24T00:00:00"/>
    <x v="1"/>
    <x v="1"/>
    <x v="4"/>
    <s v="Olive Oil"/>
    <n v="1"/>
    <n v="47.22"/>
    <n v="0"/>
    <x v="331"/>
    <n v="26.24"/>
    <s v="Delivered"/>
    <n v="7"/>
    <n v="5"/>
    <s v="No"/>
    <x v="4"/>
  </r>
  <r>
    <x v="333"/>
    <d v="2025-10-30T00:00:00"/>
    <x v="0"/>
    <x v="0"/>
    <x v="0"/>
    <s v="Running Shoes"/>
    <n v="1"/>
    <n v="240.86"/>
    <n v="0.15"/>
    <x v="332"/>
    <n v="126.6"/>
    <s v="Delivered"/>
    <n v="3"/>
    <n v="2"/>
    <s v="No"/>
    <x v="0"/>
  </r>
  <r>
    <x v="334"/>
    <d v="2025-06-17T00:00:00"/>
    <x v="2"/>
    <x v="0"/>
    <x v="4"/>
    <s v="Coffee Beans"/>
    <n v="4"/>
    <n v="59.81"/>
    <n v="0.2"/>
    <x v="333"/>
    <n v="138.01"/>
    <s v="Delivered"/>
    <n v="3"/>
    <n v="5"/>
    <s v="No"/>
    <x v="4"/>
  </r>
  <r>
    <x v="335"/>
    <d v="2025-10-23T00:00:00"/>
    <x v="1"/>
    <x v="2"/>
    <x v="2"/>
    <s v="Skincare Set"/>
    <n v="5"/>
    <n v="123.62"/>
    <n v="0.05"/>
    <x v="334"/>
    <n v="258.64"/>
    <s v="Delivered"/>
    <n v="4"/>
    <n v="5"/>
    <s v="No"/>
    <x v="2"/>
  </r>
  <r>
    <x v="336"/>
    <d v="2025-12-18T00:00:00"/>
    <x v="0"/>
    <x v="2"/>
    <x v="0"/>
    <s v="Cotton T-Shirt"/>
    <n v="4"/>
    <n v="53.75"/>
    <n v="0.1"/>
    <x v="335"/>
    <n v="81.45"/>
    <s v="Cancelled"/>
    <m/>
    <m/>
    <s v="No"/>
    <x v="0"/>
  </r>
  <r>
    <x v="337"/>
    <d v="2025-04-26T00:00:00"/>
    <x v="2"/>
    <x v="1"/>
    <x v="3"/>
    <s v="Wireless Headphones"/>
    <n v="4"/>
    <n v="181.76"/>
    <n v="0"/>
    <x v="336"/>
    <n v="359.35"/>
    <s v="Delivered"/>
    <n v="8"/>
    <n v="5"/>
    <s v="No"/>
    <x v="3"/>
  </r>
  <r>
    <x v="338"/>
    <d v="2025-03-15T00:00:00"/>
    <x v="1"/>
    <x v="0"/>
    <x v="1"/>
    <s v="Water Bottle"/>
    <n v="3"/>
    <n v="39.78"/>
    <n v="0.1"/>
    <x v="337"/>
    <n v="43.04"/>
    <s v="Delivered"/>
    <n v="2"/>
    <n v="4"/>
    <s v="No"/>
    <x v="1"/>
  </r>
  <r>
    <x v="339"/>
    <d v="2025-12-14T00:00:00"/>
    <x v="2"/>
    <x v="0"/>
    <x v="0"/>
    <s v="Cotton T-Shirt"/>
    <n v="3"/>
    <n v="45.84"/>
    <n v="0.1"/>
    <x v="338"/>
    <n v="62.63"/>
    <s v="Delivered"/>
    <n v="3"/>
    <n v="1"/>
    <s v="No"/>
    <x v="0"/>
  </r>
  <r>
    <x v="340"/>
    <d v="2025-08-20T00:00:00"/>
    <x v="3"/>
    <x v="1"/>
    <x v="0"/>
    <s v="Running Shoes"/>
    <n v="2"/>
    <n v="252.58"/>
    <n v="0.15"/>
    <x v="339"/>
    <n v="268.24"/>
    <s v="Delivered"/>
    <n v="3"/>
    <n v="2"/>
    <s v="No"/>
    <x v="0"/>
  </r>
  <r>
    <x v="341"/>
    <d v="2025-04-17T00:00:00"/>
    <x v="2"/>
    <x v="0"/>
    <x v="1"/>
    <s v="Desk Lamp"/>
    <n v="3"/>
    <n v="78.63"/>
    <n v="0.05"/>
    <x v="340"/>
    <n v="95.6"/>
    <s v="Delivered"/>
    <n v="4"/>
    <n v="1"/>
    <s v="No"/>
    <x v="1"/>
  </r>
  <r>
    <x v="342"/>
    <d v="2025-08-15T00:00:00"/>
    <x v="0"/>
    <x v="0"/>
    <x v="1"/>
    <s v="Water Bottle"/>
    <n v="5"/>
    <n v="39.020000000000003"/>
    <n v="0.1"/>
    <x v="341"/>
    <n v="73.25"/>
    <s v="Delivered"/>
    <n v="1"/>
    <n v="1"/>
    <s v="No"/>
    <x v="1"/>
  </r>
  <r>
    <x v="343"/>
    <d v="2025-07-07T00:00:00"/>
    <x v="2"/>
    <x v="1"/>
    <x v="0"/>
    <s v="Cotton T-Shirt"/>
    <n v="4"/>
    <n v="46.84"/>
    <n v="0"/>
    <x v="342"/>
    <n v="81.73"/>
    <s v="Processing"/>
    <m/>
    <m/>
    <s v="No"/>
    <x v="0"/>
  </r>
  <r>
    <x v="344"/>
    <d v="2025-11-27T00:00:00"/>
    <x v="1"/>
    <x v="0"/>
    <x v="0"/>
    <s v="Backpack"/>
    <n v="3"/>
    <n v="120.46"/>
    <n v="0.1"/>
    <x v="343"/>
    <n v="155.03"/>
    <s v="Delivered"/>
    <n v="6"/>
    <n v="2"/>
    <s v="No"/>
    <x v="0"/>
  </r>
  <r>
    <x v="345"/>
    <d v="2025-04-04T00:00:00"/>
    <x v="2"/>
    <x v="0"/>
    <x v="3"/>
    <s v="USB-C Hub"/>
    <n v="5"/>
    <n v="97.18"/>
    <n v="0.1"/>
    <x v="344"/>
    <n v="239.83"/>
    <s v="Processing"/>
    <m/>
    <m/>
    <s v="No"/>
    <x v="3"/>
  </r>
  <r>
    <x v="346"/>
    <d v="2025-12-28T00:00:00"/>
    <x v="2"/>
    <x v="0"/>
    <x v="3"/>
    <s v="Smart Watch"/>
    <n v="2"/>
    <n v="316.27999999999997"/>
    <n v="0.1"/>
    <x v="345"/>
    <n v="364.46"/>
    <s v="Delivered"/>
    <n v="8"/>
    <n v="5"/>
    <s v="No"/>
    <x v="3"/>
  </r>
  <r>
    <x v="347"/>
    <d v="2025-12-08T00:00:00"/>
    <x v="4"/>
    <x v="2"/>
    <x v="3"/>
    <s v="Smart Watch"/>
    <n v="1"/>
    <n v="289.04000000000002"/>
    <n v="0.05"/>
    <x v="346"/>
    <n v="204.11"/>
    <s v="Cancelled"/>
    <m/>
    <m/>
    <s v="No"/>
    <x v="3"/>
  </r>
  <r>
    <x v="348"/>
    <d v="2025-03-07T00:00:00"/>
    <x v="0"/>
    <x v="0"/>
    <x v="4"/>
    <s v="Coffee Beans"/>
    <n v="5"/>
    <n v="66.44"/>
    <n v="0"/>
    <x v="347"/>
    <n v="172.96"/>
    <s v="Cancelled"/>
    <m/>
    <m/>
    <s v="No"/>
    <x v="4"/>
  </r>
  <r>
    <x v="349"/>
    <d v="2025-03-02T00:00:00"/>
    <x v="2"/>
    <x v="2"/>
    <x v="0"/>
    <s v="Running Shoes"/>
    <n v="2"/>
    <n v="231.18"/>
    <n v="0.1"/>
    <x v="348"/>
    <n v="247.74"/>
    <s v="Cancelled"/>
    <m/>
    <m/>
    <s v="No"/>
    <x v="0"/>
  </r>
  <r>
    <x v="350"/>
    <d v="2025-07-14T00:00:00"/>
    <x v="0"/>
    <x v="0"/>
    <x v="4"/>
    <s v="Snack Bundle"/>
    <n v="5"/>
    <n v="37.450000000000003"/>
    <n v="0.15"/>
    <x v="349"/>
    <n v="91.32"/>
    <s v="Delivered"/>
    <n v="4"/>
    <n v="2"/>
    <s v="No"/>
    <x v="4"/>
  </r>
  <r>
    <x v="351"/>
    <d v="2025-01-17T00:00:00"/>
    <x v="3"/>
    <x v="2"/>
    <x v="1"/>
    <s v="Storage Box Set"/>
    <n v="1"/>
    <n v="51.65"/>
    <n v="0.2"/>
    <x v="350"/>
    <n v="23.62"/>
    <s v="Delivered"/>
    <n v="1"/>
    <n v="4"/>
    <s v="No"/>
    <x v="1"/>
  </r>
  <r>
    <x v="352"/>
    <d v="2025-04-20T00:00:00"/>
    <x v="3"/>
    <x v="2"/>
    <x v="1"/>
    <s v="Water Bottle"/>
    <n v="4"/>
    <n v="43.5"/>
    <n v="0"/>
    <x v="351"/>
    <n v="54.22"/>
    <s v="Processing"/>
    <m/>
    <m/>
    <s v="No"/>
    <x v="1"/>
  </r>
  <r>
    <x v="353"/>
    <d v="2025-06-08T00:00:00"/>
    <x v="0"/>
    <x v="0"/>
    <x v="2"/>
    <s v="Skincare Set"/>
    <n v="3"/>
    <n v="124.16"/>
    <n v="0"/>
    <x v="352"/>
    <n v="158.94"/>
    <s v="Processing"/>
    <m/>
    <m/>
    <s v="No"/>
    <x v="2"/>
  </r>
  <r>
    <x v="354"/>
    <d v="2025-12-20T00:00:00"/>
    <x v="0"/>
    <x v="2"/>
    <x v="1"/>
    <s v="Water Bottle"/>
    <n v="2"/>
    <n v="37.520000000000003"/>
    <n v="0.05"/>
    <x v="353"/>
    <n v="26.62"/>
    <s v="Delivered"/>
    <n v="5"/>
    <n v="4"/>
    <s v="No"/>
    <x v="1"/>
  </r>
  <r>
    <x v="355"/>
    <d v="2025-12-29T00:00:00"/>
    <x v="3"/>
    <x v="1"/>
    <x v="2"/>
    <s v="Face Cleanser"/>
    <n v="2"/>
    <n v="40.89"/>
    <n v="0"/>
    <x v="354"/>
    <n v="37.28"/>
    <s v="Returned"/>
    <n v="5"/>
    <n v="1"/>
    <s v="Yes"/>
    <x v="2"/>
  </r>
  <r>
    <x v="356"/>
    <d v="2025-02-25T00:00:00"/>
    <x v="4"/>
    <x v="2"/>
    <x v="0"/>
    <s v="Running Shoes"/>
    <n v="2"/>
    <n v="224.31"/>
    <n v="0"/>
    <x v="355"/>
    <n v="280.63"/>
    <s v="Delivered"/>
    <n v="1"/>
    <n v="1"/>
    <s v="No"/>
    <x v="0"/>
  </r>
  <r>
    <x v="357"/>
    <d v="2025-11-22T00:00:00"/>
    <x v="2"/>
    <x v="0"/>
    <x v="0"/>
    <s v="Cotton T-Shirt"/>
    <n v="1"/>
    <n v="45.01"/>
    <n v="0"/>
    <x v="356"/>
    <n v="20.32"/>
    <s v="Returned"/>
    <n v="4"/>
    <n v="1"/>
    <s v="Yes"/>
    <x v="0"/>
  </r>
  <r>
    <x v="358"/>
    <d v="2025-02-03T00:00:00"/>
    <x v="1"/>
    <x v="0"/>
    <x v="1"/>
    <s v="Desk Lamp"/>
    <n v="1"/>
    <n v="81.239999999999995"/>
    <n v="0"/>
    <x v="357"/>
    <n v="31.04"/>
    <s v="Cancelled"/>
    <m/>
    <m/>
    <s v="No"/>
    <x v="1"/>
  </r>
  <r>
    <x v="359"/>
    <d v="2025-10-01T00:00:00"/>
    <x v="0"/>
    <x v="2"/>
    <x v="0"/>
    <s v="Cotton T-Shirt"/>
    <n v="1"/>
    <n v="45.96"/>
    <n v="0.1"/>
    <x v="358"/>
    <n v="19"/>
    <s v="Processing"/>
    <m/>
    <m/>
    <s v="No"/>
    <x v="0"/>
  </r>
  <r>
    <x v="360"/>
    <d v="2025-11-05T00:00:00"/>
    <x v="1"/>
    <x v="0"/>
    <x v="4"/>
    <s v="Snack Bundle"/>
    <n v="4"/>
    <n v="38.39"/>
    <n v="0.1"/>
    <x v="359"/>
    <n v="69.94"/>
    <s v="Delivered"/>
    <n v="1"/>
    <n v="4"/>
    <s v="No"/>
    <x v="4"/>
  </r>
  <r>
    <x v="361"/>
    <d v="2025-11-22T00:00:00"/>
    <x v="0"/>
    <x v="0"/>
    <x v="2"/>
    <s v="Skincare Set"/>
    <n v="4"/>
    <n v="119.8"/>
    <n v="0"/>
    <x v="360"/>
    <n v="208.52"/>
    <s v="Returned"/>
    <n v="8"/>
    <n v="4"/>
    <s v="Yes"/>
    <x v="2"/>
  </r>
  <r>
    <x v="362"/>
    <d v="2025-03-23T00:00:00"/>
    <x v="3"/>
    <x v="2"/>
    <x v="4"/>
    <s v="Coffee Beans"/>
    <n v="1"/>
    <n v="61.04"/>
    <n v="0"/>
    <x v="361"/>
    <n v="31.43"/>
    <s v="Delivered"/>
    <n v="5"/>
    <n v="4"/>
    <s v="No"/>
    <x v="4"/>
  </r>
  <r>
    <x v="363"/>
    <d v="2025-11-23T00:00:00"/>
    <x v="1"/>
    <x v="1"/>
    <x v="2"/>
    <s v="Hair Dryer"/>
    <n v="3"/>
    <n v="162.94999999999999"/>
    <n v="0"/>
    <x v="362"/>
    <n v="243.79"/>
    <s v="Delivered"/>
    <n v="6"/>
    <n v="4"/>
    <s v="No"/>
    <x v="2"/>
  </r>
  <r>
    <x v="364"/>
    <d v="2025-02-12T00:00:00"/>
    <x v="2"/>
    <x v="2"/>
    <x v="4"/>
    <s v="Olive Oil"/>
    <n v="3"/>
    <n v="43.8"/>
    <n v="0"/>
    <x v="363"/>
    <n v="75.94"/>
    <s v="Returned"/>
    <n v="1"/>
    <n v="5"/>
    <s v="Yes"/>
    <x v="4"/>
  </r>
  <r>
    <x v="365"/>
    <d v="2025-07-09T00:00:00"/>
    <x v="2"/>
    <x v="0"/>
    <x v="0"/>
    <s v="Cotton T-Shirt"/>
    <n v="4"/>
    <n v="48.55"/>
    <n v="0.1"/>
    <x v="364"/>
    <n v="73.77"/>
    <s v="Delivered"/>
    <n v="7"/>
    <n v="2"/>
    <s v="No"/>
    <x v="0"/>
  </r>
  <r>
    <x v="366"/>
    <d v="2025-06-21T00:00:00"/>
    <x v="0"/>
    <x v="2"/>
    <x v="4"/>
    <s v="Coffee Beans"/>
    <n v="4"/>
    <n v="60.31"/>
    <n v="0.1"/>
    <x v="365"/>
    <n v="142.69999999999999"/>
    <s v="Returned"/>
    <n v="6"/>
    <n v="2"/>
    <s v="Yes"/>
    <x v="4"/>
  </r>
  <r>
    <x v="367"/>
    <d v="2025-04-26T00:00:00"/>
    <x v="0"/>
    <x v="1"/>
    <x v="2"/>
    <s v="Hair Dryer"/>
    <n v="2"/>
    <n v="138"/>
    <n v="0.05"/>
    <x v="366"/>
    <n v="147.62"/>
    <s v="Delivered"/>
    <n v="2"/>
    <n v="2"/>
    <s v="No"/>
    <x v="2"/>
  </r>
  <r>
    <x v="368"/>
    <d v="2025-01-09T00:00:00"/>
    <x v="0"/>
    <x v="2"/>
    <x v="1"/>
    <s v="Water Bottle"/>
    <n v="2"/>
    <n v="40.5"/>
    <n v="0.15"/>
    <x v="367"/>
    <n v="29.88"/>
    <s v="Cancelled"/>
    <m/>
    <m/>
    <s v="No"/>
    <x v="1"/>
  </r>
  <r>
    <x v="369"/>
    <d v="2025-10-09T00:00:00"/>
    <x v="2"/>
    <x v="0"/>
    <x v="1"/>
    <s v="Desk Lamp"/>
    <n v="2"/>
    <n v="74.59"/>
    <n v="0.15"/>
    <x v="368"/>
    <n v="68.83"/>
    <s v="Cancelled"/>
    <m/>
    <m/>
    <s v="No"/>
    <x v="1"/>
  </r>
  <r>
    <x v="370"/>
    <d v="2025-05-03T00:00:00"/>
    <x v="0"/>
    <x v="0"/>
    <x v="2"/>
    <s v="Face Cleanser"/>
    <n v="1"/>
    <n v="41.41"/>
    <n v="0.15"/>
    <x v="369"/>
    <n v="17.45"/>
    <s v="Delivered"/>
    <n v="5"/>
    <n v="1"/>
    <s v="No"/>
    <x v="2"/>
  </r>
  <r>
    <x v="371"/>
    <d v="2025-08-30T00:00:00"/>
    <x v="3"/>
    <x v="1"/>
    <x v="3"/>
    <s v="USB-C Hub"/>
    <n v="1"/>
    <n v="89.83"/>
    <n v="0"/>
    <x v="370"/>
    <n v="45.61"/>
    <s v="Delivered"/>
    <n v="3"/>
    <n v="1"/>
    <s v="No"/>
    <x v="3"/>
  </r>
  <r>
    <x v="372"/>
    <d v="2025-05-30T00:00:00"/>
    <x v="2"/>
    <x v="2"/>
    <x v="4"/>
    <s v="Coffee Beans"/>
    <n v="3"/>
    <n v="67.73"/>
    <n v="0.1"/>
    <x v="371"/>
    <n v="105.33"/>
    <s v="Delivered"/>
    <n v="7"/>
    <n v="1"/>
    <s v="No"/>
    <x v="4"/>
  </r>
  <r>
    <x v="373"/>
    <d v="2025-05-17T00:00:00"/>
    <x v="0"/>
    <x v="2"/>
    <x v="3"/>
    <s v="Wireless Headphones"/>
    <n v="4"/>
    <n v="171.92"/>
    <n v="0"/>
    <x v="372"/>
    <n v="355.33"/>
    <s v="Processing"/>
    <m/>
    <m/>
    <s v="No"/>
    <x v="3"/>
  </r>
  <r>
    <x v="374"/>
    <d v="2025-11-20T00:00:00"/>
    <x v="2"/>
    <x v="2"/>
    <x v="0"/>
    <s v="Running Shoes"/>
    <n v="3"/>
    <n v="236.8"/>
    <n v="0"/>
    <x v="373"/>
    <n v="380.81"/>
    <s v="Processing"/>
    <m/>
    <m/>
    <s v="No"/>
    <x v="0"/>
  </r>
  <r>
    <x v="375"/>
    <d v="2025-02-04T00:00:00"/>
    <x v="0"/>
    <x v="1"/>
    <x v="2"/>
    <s v="Face Cleanser"/>
    <n v="1"/>
    <n v="44.97"/>
    <n v="0.1"/>
    <x v="374"/>
    <n v="17.940000000000001"/>
    <s v="Returned"/>
    <n v="4"/>
    <n v="2"/>
    <s v="Yes"/>
    <x v="2"/>
  </r>
  <r>
    <x v="376"/>
    <d v="2025-09-26T00:00:00"/>
    <x v="2"/>
    <x v="0"/>
    <x v="1"/>
    <s v="Water Bottle"/>
    <n v="5"/>
    <n v="36.380000000000003"/>
    <n v="0.1"/>
    <x v="375"/>
    <n v="65.09"/>
    <s v="Delivered"/>
    <n v="1"/>
    <n v="1"/>
    <s v="No"/>
    <x v="1"/>
  </r>
  <r>
    <x v="377"/>
    <d v="2025-09-30T00:00:00"/>
    <x v="3"/>
    <x v="0"/>
    <x v="4"/>
    <s v="Olive Oil"/>
    <n v="3"/>
    <n v="46"/>
    <n v="0.1"/>
    <x v="376"/>
    <n v="75.349999999999994"/>
    <s v="Delivered"/>
    <n v="1"/>
    <n v="1"/>
    <s v="No"/>
    <x v="4"/>
  </r>
  <r>
    <x v="378"/>
    <d v="2025-05-19T00:00:00"/>
    <x v="4"/>
    <x v="0"/>
    <x v="1"/>
    <s v="Desk Lamp"/>
    <n v="1"/>
    <n v="78.12"/>
    <n v="0.05"/>
    <x v="377"/>
    <n v="33.54"/>
    <s v="Delivered"/>
    <n v="5"/>
    <n v="1"/>
    <s v="No"/>
    <x v="1"/>
  </r>
  <r>
    <x v="379"/>
    <d v="2025-04-06T00:00:00"/>
    <x v="0"/>
    <x v="0"/>
    <x v="2"/>
    <s v="Face Cleanser"/>
    <n v="3"/>
    <n v="42.97"/>
    <n v="0.15"/>
    <x v="378"/>
    <n v="49.91"/>
    <s v="Delivered"/>
    <n v="2"/>
    <n v="2"/>
    <s v="No"/>
    <x v="2"/>
  </r>
  <r>
    <x v="380"/>
    <d v="2025-01-02T00:00:00"/>
    <x v="0"/>
    <x v="0"/>
    <x v="2"/>
    <s v="Hair Dryer"/>
    <n v="5"/>
    <n v="150.62"/>
    <n v="0"/>
    <x v="379"/>
    <n v="380.02"/>
    <s v="Cancelled"/>
    <m/>
    <m/>
    <s v="No"/>
    <x v="2"/>
  </r>
  <r>
    <x v="381"/>
    <d v="2025-12-08T00:00:00"/>
    <x v="2"/>
    <x v="0"/>
    <x v="2"/>
    <s v="Face Cleanser"/>
    <n v="3"/>
    <n v="45.81"/>
    <n v="0.1"/>
    <x v="380"/>
    <n v="56.37"/>
    <s v="Processing"/>
    <m/>
    <m/>
    <s v="No"/>
    <x v="2"/>
  </r>
  <r>
    <x v="382"/>
    <d v="2025-12-12T00:00:00"/>
    <x v="2"/>
    <x v="2"/>
    <x v="3"/>
    <s v="USB-C Hub"/>
    <n v="1"/>
    <n v="94.91"/>
    <n v="0"/>
    <x v="381"/>
    <n v="46.9"/>
    <s v="Delivered"/>
    <n v="5"/>
    <n v="1"/>
    <s v="No"/>
    <x v="3"/>
  </r>
  <r>
    <x v="383"/>
    <d v="2025-03-29T00:00:00"/>
    <x v="2"/>
    <x v="2"/>
    <x v="1"/>
    <s v="Water Bottle"/>
    <n v="1"/>
    <n v="40.770000000000003"/>
    <n v="0.1"/>
    <x v="382"/>
    <n v="13.58"/>
    <s v="Delivered"/>
    <n v="3"/>
    <n v="4"/>
    <s v="No"/>
    <x v="1"/>
  </r>
  <r>
    <x v="384"/>
    <d v="2025-01-12T00:00:00"/>
    <x v="2"/>
    <x v="0"/>
    <x v="3"/>
    <s v="Smart Watch"/>
    <n v="3"/>
    <n v="290.32"/>
    <n v="0.15"/>
    <x v="383"/>
    <n v="602.39"/>
    <s v="Delivered"/>
    <n v="2"/>
    <n v="4"/>
    <s v="No"/>
    <x v="3"/>
  </r>
  <r>
    <x v="385"/>
    <d v="2025-02-14T00:00:00"/>
    <x v="1"/>
    <x v="2"/>
    <x v="4"/>
    <s v="Coffee Beans"/>
    <n v="3"/>
    <n v="62.23"/>
    <n v="0.2"/>
    <x v="384"/>
    <n v="107.98"/>
    <s v="Delivered"/>
    <n v="5"/>
    <n v="2"/>
    <s v="No"/>
    <x v="4"/>
  </r>
  <r>
    <x v="386"/>
    <d v="2025-01-25T00:00:00"/>
    <x v="3"/>
    <x v="1"/>
    <x v="0"/>
    <s v="Cotton T-Shirt"/>
    <n v="3"/>
    <n v="49.39"/>
    <n v="0.15"/>
    <x v="385"/>
    <n v="57.78"/>
    <s v="Returned"/>
    <n v="2"/>
    <n v="4"/>
    <s v="Yes"/>
    <x v="0"/>
  </r>
  <r>
    <x v="387"/>
    <d v="2025-10-31T00:00:00"/>
    <x v="3"/>
    <x v="0"/>
    <x v="0"/>
    <s v="Running Shoes"/>
    <n v="5"/>
    <n v="221.29"/>
    <n v="0"/>
    <x v="386"/>
    <n v="669.96"/>
    <s v="Returned"/>
    <n v="5"/>
    <n v="5"/>
    <s v="Yes"/>
    <x v="0"/>
  </r>
  <r>
    <x v="388"/>
    <d v="2025-11-22T00:00:00"/>
    <x v="2"/>
    <x v="0"/>
    <x v="2"/>
    <s v="Hair Dryer"/>
    <n v="5"/>
    <n v="159.38"/>
    <n v="0.15"/>
    <x v="387"/>
    <n v="390.99"/>
    <s v="Delivered"/>
    <n v="3"/>
    <n v="4"/>
    <s v="No"/>
    <x v="2"/>
  </r>
  <r>
    <x v="389"/>
    <d v="2025-02-25T00:00:00"/>
    <x v="3"/>
    <x v="1"/>
    <x v="3"/>
    <s v="Smart Watch"/>
    <n v="3"/>
    <n v="307.17"/>
    <n v="0"/>
    <x v="388"/>
    <n v="545.57000000000005"/>
    <s v="Delivered"/>
    <n v="6"/>
    <n v="1"/>
    <s v="No"/>
    <x v="3"/>
  </r>
  <r>
    <x v="390"/>
    <d v="2025-09-30T00:00:00"/>
    <x v="2"/>
    <x v="0"/>
    <x v="4"/>
    <s v="Coffee Beans"/>
    <n v="5"/>
    <n v="67.069999999999993"/>
    <n v="0"/>
    <x v="389"/>
    <n v="167.35"/>
    <s v="Delivered"/>
    <n v="2"/>
    <n v="5"/>
    <s v="No"/>
    <x v="4"/>
  </r>
  <r>
    <x v="391"/>
    <d v="2025-03-07T00:00:00"/>
    <x v="0"/>
    <x v="0"/>
    <x v="4"/>
    <s v="Olive Oil"/>
    <n v="3"/>
    <n v="48.55"/>
    <n v="0.1"/>
    <x v="390"/>
    <n v="87.28"/>
    <s v="Cancelled"/>
    <m/>
    <m/>
    <s v="No"/>
    <x v="4"/>
  </r>
  <r>
    <x v="392"/>
    <d v="2025-05-15T00:00:00"/>
    <x v="0"/>
    <x v="0"/>
    <x v="2"/>
    <s v="Face Cleanser"/>
    <n v="2"/>
    <n v="40.56"/>
    <n v="0"/>
    <x v="391"/>
    <n v="36.549999999999997"/>
    <s v="Delivered"/>
    <n v="3"/>
    <n v="5"/>
    <s v="No"/>
    <x v="2"/>
  </r>
  <r>
    <x v="393"/>
    <d v="2025-08-07T00:00:00"/>
    <x v="4"/>
    <x v="2"/>
    <x v="4"/>
    <s v="Snack Bundle"/>
    <n v="1"/>
    <n v="36.799999999999997"/>
    <n v="0.1"/>
    <x v="392"/>
    <n v="16.53"/>
    <s v="Delivered"/>
    <n v="7"/>
    <n v="3"/>
    <s v="No"/>
    <x v="4"/>
  </r>
  <r>
    <x v="394"/>
    <d v="2025-09-20T00:00:00"/>
    <x v="0"/>
    <x v="1"/>
    <x v="3"/>
    <s v="Wireless Headphones"/>
    <n v="1"/>
    <n v="190.16"/>
    <n v="0.2"/>
    <x v="393"/>
    <n v="101.65"/>
    <s v="Delivered"/>
    <n v="8"/>
    <n v="2"/>
    <s v="No"/>
    <x v="3"/>
  </r>
  <r>
    <x v="395"/>
    <d v="2025-11-16T00:00:00"/>
    <x v="1"/>
    <x v="0"/>
    <x v="0"/>
    <s v="Backpack"/>
    <n v="2"/>
    <n v="115.53"/>
    <n v="0"/>
    <x v="394"/>
    <n v="108.88"/>
    <s v="Delivered"/>
    <n v="4"/>
    <n v="2"/>
    <s v="No"/>
    <x v="0"/>
  </r>
  <r>
    <x v="396"/>
    <d v="2025-01-17T00:00:00"/>
    <x v="0"/>
    <x v="1"/>
    <x v="4"/>
    <s v="Olive Oil"/>
    <n v="3"/>
    <n v="48.5"/>
    <n v="0.05"/>
    <x v="395"/>
    <n v="79.83"/>
    <s v="Delivered"/>
    <n v="5"/>
    <n v="3"/>
    <s v="No"/>
    <x v="4"/>
  </r>
  <r>
    <x v="397"/>
    <d v="2025-03-13T00:00:00"/>
    <x v="2"/>
    <x v="2"/>
    <x v="4"/>
    <s v="Olive Oil"/>
    <n v="2"/>
    <n v="49.97"/>
    <n v="0.05"/>
    <x v="396"/>
    <n v="56.92"/>
    <s v="Delivered"/>
    <n v="2"/>
    <n v="4"/>
    <s v="No"/>
    <x v="4"/>
  </r>
  <r>
    <x v="398"/>
    <d v="2025-04-13T00:00:00"/>
    <x v="3"/>
    <x v="2"/>
    <x v="0"/>
    <s v="Running Shoes"/>
    <n v="4"/>
    <n v="239.92"/>
    <n v="0"/>
    <x v="397"/>
    <n v="527.34"/>
    <s v="Returned"/>
    <n v="1"/>
    <n v="2"/>
    <s v="Yes"/>
    <x v="0"/>
  </r>
  <r>
    <x v="399"/>
    <d v="2025-04-24T00:00:00"/>
    <x v="1"/>
    <x v="2"/>
    <x v="4"/>
    <s v="Coffee Beans"/>
    <n v="2"/>
    <n v="63.6"/>
    <n v="0.1"/>
    <x v="398"/>
    <n v="71.849999999999994"/>
    <s v="Cancelled"/>
    <m/>
    <m/>
    <s v="No"/>
    <x v="4"/>
  </r>
  <r>
    <x v="400"/>
    <d v="2025-12-31T00:00:00"/>
    <x v="2"/>
    <x v="0"/>
    <x v="3"/>
    <s v="Smart Watch"/>
    <n v="4"/>
    <n v="324.29000000000002"/>
    <n v="0.1"/>
    <x v="399"/>
    <n v="759.58"/>
    <s v="Delivered"/>
    <n v="7"/>
    <n v="3"/>
    <s v="No"/>
    <x v="3"/>
  </r>
  <r>
    <x v="401"/>
    <d v="2025-10-11T00:00:00"/>
    <x v="1"/>
    <x v="0"/>
    <x v="0"/>
    <s v="Cotton T-Shirt"/>
    <n v="1"/>
    <n v="54.19"/>
    <n v="0.2"/>
    <x v="400"/>
    <n v="20.82"/>
    <s v="Returned"/>
    <n v="1"/>
    <n v="3"/>
    <s v="Yes"/>
    <x v="0"/>
  </r>
  <r>
    <x v="402"/>
    <d v="2025-04-27T00:00:00"/>
    <x v="0"/>
    <x v="0"/>
    <x v="0"/>
    <s v="Backpack"/>
    <n v="3"/>
    <n v="101.41"/>
    <n v="0.15"/>
    <x v="401"/>
    <n v="153.03"/>
    <s v="Cancelled"/>
    <m/>
    <m/>
    <s v="No"/>
    <x v="0"/>
  </r>
  <r>
    <x v="403"/>
    <d v="2025-12-21T00:00:00"/>
    <x v="2"/>
    <x v="0"/>
    <x v="3"/>
    <s v="Smart Watch"/>
    <n v="2"/>
    <n v="291.12"/>
    <n v="0.05"/>
    <x v="402"/>
    <n v="350.6"/>
    <s v="Cancelled"/>
    <m/>
    <m/>
    <s v="No"/>
    <x v="3"/>
  </r>
  <r>
    <x v="404"/>
    <d v="2025-07-02T00:00:00"/>
    <x v="2"/>
    <x v="2"/>
    <x v="0"/>
    <s v="Running Shoes"/>
    <n v="4"/>
    <n v="244.42"/>
    <n v="0"/>
    <x v="403"/>
    <n v="491.25"/>
    <s v="Delivered"/>
    <n v="3"/>
    <n v="3"/>
    <s v="No"/>
    <x v="0"/>
  </r>
  <r>
    <x v="405"/>
    <d v="2025-07-02T00:00:00"/>
    <x v="0"/>
    <x v="1"/>
    <x v="1"/>
    <s v="Water Bottle"/>
    <n v="1"/>
    <n v="39.840000000000003"/>
    <n v="0.05"/>
    <x v="404"/>
    <n v="15.11"/>
    <s v="Delivered"/>
    <n v="4"/>
    <n v="5"/>
    <s v="No"/>
    <x v="1"/>
  </r>
  <r>
    <x v="406"/>
    <d v="2025-06-08T00:00:00"/>
    <x v="1"/>
    <x v="2"/>
    <x v="2"/>
    <s v="Skincare Set"/>
    <n v="2"/>
    <n v="115.02"/>
    <n v="0.05"/>
    <x v="405"/>
    <n v="115.26"/>
    <s v="Returned"/>
    <n v="4"/>
    <n v="3"/>
    <s v="Yes"/>
    <x v="2"/>
  </r>
  <r>
    <x v="407"/>
    <d v="2025-02-22T00:00:00"/>
    <x v="0"/>
    <x v="1"/>
    <x v="0"/>
    <s v="Backpack"/>
    <n v="4"/>
    <n v="103.06"/>
    <n v="0.15"/>
    <x v="406"/>
    <n v="223.75"/>
    <s v="Delivered"/>
    <n v="1"/>
    <n v="3"/>
    <s v="No"/>
    <x v="0"/>
  </r>
  <r>
    <x v="408"/>
    <d v="2025-12-08T00:00:00"/>
    <x v="1"/>
    <x v="0"/>
    <x v="4"/>
    <s v="Coffee Beans"/>
    <n v="2"/>
    <n v="60.33"/>
    <n v="0.1"/>
    <x v="407"/>
    <n v="65.900000000000006"/>
    <s v="Returned"/>
    <n v="4"/>
    <n v="1"/>
    <s v="Yes"/>
    <x v="4"/>
  </r>
  <r>
    <x v="409"/>
    <d v="2025-01-06T00:00:00"/>
    <x v="0"/>
    <x v="2"/>
    <x v="1"/>
    <s v="Water Bottle"/>
    <n v="4"/>
    <n v="42.13"/>
    <n v="0"/>
    <x v="408"/>
    <n v="58.62"/>
    <s v="Cancelled"/>
    <m/>
    <m/>
    <s v="No"/>
    <x v="1"/>
  </r>
  <r>
    <x v="410"/>
    <d v="2025-03-05T00:00:00"/>
    <x v="0"/>
    <x v="0"/>
    <x v="4"/>
    <s v="Olive Oil"/>
    <n v="5"/>
    <n v="47.85"/>
    <n v="0.05"/>
    <x v="409"/>
    <n v="141.03"/>
    <s v="Delivered"/>
    <n v="3"/>
    <n v="2"/>
    <s v="No"/>
    <x v="4"/>
  </r>
  <r>
    <x v="411"/>
    <d v="2025-03-25T00:00:00"/>
    <x v="0"/>
    <x v="0"/>
    <x v="3"/>
    <s v="USB-C Hub"/>
    <n v="2"/>
    <n v="102.02"/>
    <n v="0.2"/>
    <x v="410"/>
    <n v="101.88"/>
    <s v="Delivered"/>
    <n v="6"/>
    <n v="2"/>
    <s v="No"/>
    <x v="3"/>
  </r>
  <r>
    <x v="412"/>
    <d v="2025-04-12T00:00:00"/>
    <x v="1"/>
    <x v="0"/>
    <x v="3"/>
    <s v="Wireless Headphones"/>
    <n v="3"/>
    <n v="195.68"/>
    <n v="0"/>
    <x v="411"/>
    <n v="262.38"/>
    <s v="Delivered"/>
    <n v="2"/>
    <n v="2"/>
    <s v="No"/>
    <x v="3"/>
  </r>
  <r>
    <x v="413"/>
    <d v="2025-02-18T00:00:00"/>
    <x v="4"/>
    <x v="0"/>
    <x v="0"/>
    <s v="Running Shoes"/>
    <n v="2"/>
    <n v="258.73"/>
    <n v="0.1"/>
    <x v="412"/>
    <n v="264.27"/>
    <s v="Delivered"/>
    <n v="3"/>
    <n v="1"/>
    <s v="No"/>
    <x v="0"/>
  </r>
  <r>
    <x v="414"/>
    <d v="2025-01-07T00:00:00"/>
    <x v="2"/>
    <x v="2"/>
    <x v="1"/>
    <s v="Desk Lamp"/>
    <n v="5"/>
    <n v="71.66"/>
    <n v="0.1"/>
    <x v="413"/>
    <n v="158.74"/>
    <s v="Delivered"/>
    <n v="7"/>
    <n v="4"/>
    <s v="No"/>
    <x v="1"/>
  </r>
  <r>
    <x v="415"/>
    <d v="2025-09-05T00:00:00"/>
    <x v="0"/>
    <x v="0"/>
    <x v="0"/>
    <s v="Cotton T-Shirt"/>
    <n v="5"/>
    <n v="46.06"/>
    <n v="0"/>
    <x v="414"/>
    <n v="107.44"/>
    <s v="Processing"/>
    <m/>
    <m/>
    <s v="No"/>
    <x v="0"/>
  </r>
  <r>
    <x v="416"/>
    <d v="2025-12-20T00:00:00"/>
    <x v="0"/>
    <x v="0"/>
    <x v="0"/>
    <s v="Running Shoes"/>
    <n v="1"/>
    <n v="226.4"/>
    <n v="0.15"/>
    <x v="415"/>
    <n v="136.33000000000001"/>
    <s v="Delivered"/>
    <n v="5"/>
    <n v="1"/>
    <s v="No"/>
    <x v="0"/>
  </r>
  <r>
    <x v="417"/>
    <d v="2025-02-14T00:00:00"/>
    <x v="2"/>
    <x v="1"/>
    <x v="3"/>
    <s v="USB-C Hub"/>
    <n v="3"/>
    <n v="92.15"/>
    <n v="0.1"/>
    <x v="416"/>
    <n v="141.44999999999999"/>
    <s v="Delivered"/>
    <n v="7"/>
    <n v="2"/>
    <s v="No"/>
    <x v="3"/>
  </r>
  <r>
    <x v="418"/>
    <d v="2025-04-19T00:00:00"/>
    <x v="1"/>
    <x v="1"/>
    <x v="3"/>
    <s v="USB-C Hub"/>
    <n v="2"/>
    <n v="91.54"/>
    <n v="0"/>
    <x v="417"/>
    <n v="89.59"/>
    <s v="Delivered"/>
    <n v="2"/>
    <n v="3"/>
    <s v="No"/>
    <x v="3"/>
  </r>
  <r>
    <x v="419"/>
    <d v="2025-07-04T00:00:00"/>
    <x v="3"/>
    <x v="0"/>
    <x v="3"/>
    <s v="Wireless Headphones"/>
    <n v="5"/>
    <n v="186.46"/>
    <n v="0.15"/>
    <x v="418"/>
    <n v="455.28"/>
    <s v="Returned"/>
    <n v="3"/>
    <n v="1"/>
    <s v="Yes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75B613-6FD2-4A44-A850-199E51A05C5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Region">
  <location ref="A5:B11" firstHeaderRow="1" firstDataRow="1" firstDataCol="1"/>
  <pivotFields count="16">
    <pivotField showAll="0"/>
    <pivotField numFmtId="164" showAll="0"/>
    <pivotField axis="axisRow" showAll="0" sortType="descending">
      <items count="7">
        <item x="0"/>
        <item x="4"/>
        <item x="1"/>
        <item x="2"/>
        <item m="1"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3"/>
    </i>
    <i>
      <x/>
    </i>
    <i>
      <x v="5"/>
    </i>
    <i>
      <x v="2"/>
    </i>
    <i>
      <x v="1"/>
    </i>
    <i t="grand">
      <x/>
    </i>
  </rowItems>
  <colItems count="1">
    <i/>
  </colItems>
  <dataFields count="1">
    <dataField name="Sum of Sales_AED" fld="9" baseField="0" baseItem="0"/>
  </dataFields>
  <formats count="6"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2" type="button" dataOnly="0" labelOnly="1" outline="0" axis="axisRow" fieldPosition="0"/>
    </format>
    <format dxfId="54">
      <pivotArea dataOnly="0" labelOnly="1" fieldPosition="0">
        <references count="1">
          <reference field="2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</format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5EE8A5-5A14-4D62-B6FD-F7C1D3DE739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5" rowHeaderCaption="Sales_Channel">
  <location ref="A5:B9" firstHeaderRow="1" firstDataRow="1" firstDataCol="1"/>
  <pivotFields count="16">
    <pivotField showAll="0"/>
    <pivotField showAll="0"/>
    <pivotField showAll="0"/>
    <pivotField axis="axisRow" showAll="0" sortType="descending">
      <items count="5">
        <item x="1"/>
        <item x="0"/>
        <item x="2"/>
        <item h="1" m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Sales_AED" fld="9" baseField="0" baseItem="0"/>
  </dataFields>
  <formats count="6"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3" type="button" dataOnly="0" labelOnly="1" outline="0" axis="axisRow" fieldPosition="0"/>
    </format>
    <format dxfId="48">
      <pivotArea dataOnly="0" labelOnly="1" fieldPosition="0">
        <references count="1">
          <reference field="3" count="0"/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</formats>
  <chartFormats count="16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8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8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6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6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7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7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8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8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6927E9-9E8D-4638-B8F9-72A89F5C2DC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 Product_Category">
  <location ref="A5:B11" firstHeaderRow="1" firstDataRow="1" firstDataCol="1"/>
  <pivotFields count="16">
    <pivotField showAll="0"/>
    <pivotField showAll="0"/>
    <pivotField showAll="0"/>
    <pivotField showAll="0"/>
    <pivotField axis="axisRow" showAll="0" sortType="descending">
      <items count="8">
        <item m="1" x="5"/>
        <item x="2"/>
        <item x="3"/>
        <item x="0"/>
        <item x="4"/>
        <item x="1"/>
        <item m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 v="2"/>
    </i>
    <i>
      <x v="3"/>
    </i>
    <i>
      <x v="1"/>
    </i>
    <i>
      <x v="4"/>
    </i>
    <i>
      <x v="5"/>
    </i>
    <i t="grand">
      <x/>
    </i>
  </rowItems>
  <colItems count="1">
    <i/>
  </colItems>
  <dataFields count="1">
    <dataField name="Sum of Sales_AED" fld="9" baseField="0" baseItem="0"/>
  </dataFields>
  <formats count="6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4" type="button" dataOnly="0" labelOnly="1" outline="0" axis="axisRow" fieldPosition="0"/>
    </format>
    <format dxfId="42">
      <pivotArea dataOnly="0" labelOnly="1" fieldPosition="0">
        <references count="1">
          <reference field="4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</format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776BFA-DCCD-4EDA-A610-391152A2B614}" name="Table8" displayName="Table8" ref="A65:A68" totalsRowShown="0" headerRowDxfId="63" dataDxfId="61" headerRowBorderDxfId="62" tableBorderDxfId="60" totalsRowBorderDxfId="59">
  <autoFilter ref="A65:A68" xr:uid="{A6776BFA-DCCD-4EDA-A610-391152A2B614}"/>
  <tableColumns count="1">
    <tableColumn id="1" xr3:uid="{E679158A-B559-46D0-B492-68B95379D8C5}" name="Business Insights" dataDxfId="5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4D7DCE-1538-41A1-A2C0-6578A8D32256}" name="Table1" displayName="Table1" ref="A1:O421" totalsRowShown="0" headerRowDxfId="39" headerRowBorderDxfId="38" tableBorderDxfId="37" totalsRowBorderDxfId="36">
  <autoFilter ref="A1:O421" xr:uid="{AA4D7DCE-1538-41A1-A2C0-6578A8D32256}"/>
  <tableColumns count="15">
    <tableColumn id="1" xr3:uid="{E706A746-E39E-428F-9A55-73DDA1075645}" name="Order_ID" dataDxfId="35"/>
    <tableColumn id="2" xr3:uid="{890F097F-809C-4554-9DC4-D263D45C8FC8}" name="Order_Date" dataDxfId="34"/>
    <tableColumn id="3" xr3:uid="{A358C24B-A50E-4B20-BDCD-C70DC38D69E4}" name="Region" dataDxfId="33"/>
    <tableColumn id="4" xr3:uid="{F02E4044-D3F2-496F-A406-FE71D644AE87}" name="Sales_Channel" dataDxfId="32"/>
    <tableColumn id="5" xr3:uid="{73D1FEB2-8801-458D-956E-A74F902EE905}" name="Product_Category" dataDxfId="31"/>
    <tableColumn id="6" xr3:uid="{1879CAAF-5E01-4FE4-9057-9F042A64B043}" name="Product" dataDxfId="30"/>
    <tableColumn id="7" xr3:uid="{993282AB-D0FE-47F5-AE37-0C130C7BFB06}" name="Units_Sold" dataDxfId="29"/>
    <tableColumn id="8" xr3:uid="{C400AE41-B594-4AF6-9846-158BC6F46524}" name="Unit_Price_AED" dataDxfId="28"/>
    <tableColumn id="9" xr3:uid="{A297BC57-6E2B-49AB-9925-BC3869B94D1C}" name="Discount_Pct" dataDxfId="27"/>
    <tableColumn id="10" xr3:uid="{3EBBA28B-232E-4B3C-99A0-8EA7B10463B0}" name="Sales_AED" dataDxfId="26"/>
    <tableColumn id="11" xr3:uid="{D1EC8DF2-9F7B-4FAA-95FF-5BB2A746DC3C}" name="Cost_AED" dataDxfId="25"/>
    <tableColumn id="12" xr3:uid="{EC93E946-649A-4108-926B-634E288C6D5A}" name="Order_Status" dataDxfId="24"/>
    <tableColumn id="13" xr3:uid="{DD4294B5-FCF2-4B72-B980-8A5536EE2319}" name="Delivery_Days" dataDxfId="23"/>
    <tableColumn id="14" xr3:uid="{C10B4EEE-17F1-4D81-8DCD-EE310F08592A}" name="Customer_Rating" dataDxfId="22"/>
    <tableColumn id="15" xr3:uid="{F3A768B9-58F2-4823-9F63-CBCFC3DBB24E}" name="Returned" dataDxfId="2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B8E1BF5-370F-4C44-9E82-4588BF29782D}" name="Table7" displayName="Table7" ref="A3:C13" totalsRowShown="0" headerRowDxfId="20" headerRowBorderDxfId="19" tableBorderDxfId="18" totalsRowBorderDxfId="17">
  <autoFilter ref="A3:C13" xr:uid="{BB8E1BF5-370F-4C44-9E82-4588BF29782D}"/>
  <tableColumns count="3">
    <tableColumn id="1" xr3:uid="{3270E0A5-4C74-4525-A46A-23DDEDF7D285}" name="Check" dataDxfId="16"/>
    <tableColumn id="2" xr3:uid="{24E11A73-2569-4630-A6CF-A27F86BCC5EA}" name="Result" dataDxfId="15"/>
    <tableColumn id="3" xr3:uid="{980122F4-8C7C-49B0-8465-84714682774B}" name="Status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1EA8A32-3044-4BC6-BB3E-440E14EAE140}" name="Table6" displayName="Table6" ref="A1:B8" totalsRowShown="0" headerRowDxfId="13" headerRowBorderDxfId="12" tableBorderDxfId="11" totalsRowBorderDxfId="10">
  <autoFilter ref="A1:B8" xr:uid="{00000000-0009-0000-0000-000001000000}"/>
  <tableColumns count="2">
    <tableColumn id="1" xr3:uid="{653A67CB-FEE7-4A99-B753-6446ED834DEF}" name="Project Field" dataDxfId="9"/>
    <tableColumn id="2" xr3:uid="{6D9F1EFC-2F0D-41EF-BE68-1021258DFE03}" name="Details" dataDxfId="8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13A8E5-FBA9-4EF2-A7DA-AC535BA321D2}" name="Table4" displayName="Table4" ref="A1:C8" totalsRowShown="0" headerRowDxfId="7" headerRowBorderDxfId="6" tableBorderDxfId="5" totalsRowBorderDxfId="4">
  <autoFilter ref="A1:C8" xr:uid="{00000000-0009-0000-0000-000002000000}"/>
  <tableColumns count="3">
    <tableColumn id="1" xr3:uid="{C303BC66-5DED-4F63-889C-32EA4068DCA4}" name="Step" dataDxfId="3"/>
    <tableColumn id="2" xr3:uid="{DF5E4835-2CF5-4AE3-A33C-D75AF3ACFCA0}" name="Task" dataDxfId="2"/>
    <tableColumn id="3" xr3:uid="{92EFA081-0F26-4A15-B584-F812629CE767}" name="Status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3953F-5AE4-469A-AE54-DB849ABC2B55}">
  <dimension ref="A4:B11"/>
  <sheetViews>
    <sheetView topLeftCell="A2" zoomScale="88" workbookViewId="0">
      <selection activeCell="F14" sqref="F14"/>
    </sheetView>
  </sheetViews>
  <sheetFormatPr defaultRowHeight="14.4"/>
  <cols>
    <col min="1" max="1" width="11.109375" bestFit="1" customWidth="1"/>
    <col min="2" max="2" width="16.44140625" bestFit="1" customWidth="1"/>
  </cols>
  <sheetData>
    <row r="4" spans="1:2" ht="15.6">
      <c r="A4" s="51" t="s">
        <v>496</v>
      </c>
      <c r="B4" s="52"/>
    </row>
    <row r="5" spans="1:2">
      <c r="A5" s="43" t="s">
        <v>2</v>
      </c>
      <c r="B5" s="4" t="s">
        <v>495</v>
      </c>
    </row>
    <row r="6" spans="1:2">
      <c r="A6" s="44" t="s">
        <v>29</v>
      </c>
      <c r="B6" s="4">
        <v>45180.520000000019</v>
      </c>
    </row>
    <row r="7" spans="1:2">
      <c r="A7" s="44" t="s">
        <v>16</v>
      </c>
      <c r="B7" s="4">
        <v>38374.619999999995</v>
      </c>
    </row>
    <row r="8" spans="1:2">
      <c r="A8" s="44" t="s">
        <v>38</v>
      </c>
      <c r="B8" s="4">
        <v>22520.79</v>
      </c>
    </row>
    <row r="9" spans="1:2">
      <c r="A9" s="44" t="s">
        <v>23</v>
      </c>
      <c r="B9" s="4">
        <v>21899.24</v>
      </c>
    </row>
    <row r="10" spans="1:2">
      <c r="A10" s="44" t="s">
        <v>71</v>
      </c>
      <c r="B10" s="4">
        <v>6221.5300000000007</v>
      </c>
    </row>
    <row r="11" spans="1:2">
      <c r="A11" s="44" t="s">
        <v>494</v>
      </c>
      <c r="B11" s="4">
        <v>134196.70000000001</v>
      </c>
    </row>
  </sheetData>
  <mergeCells count="1">
    <mergeCell ref="A4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77269-2D9F-4D37-901F-F13E48659859}">
  <dimension ref="A4:B9"/>
  <sheetViews>
    <sheetView zoomScale="93" workbookViewId="0">
      <selection activeCell="F10" sqref="F10"/>
    </sheetView>
  </sheetViews>
  <sheetFormatPr defaultRowHeight="14.4"/>
  <cols>
    <col min="1" max="1" width="15.5546875" bestFit="1" customWidth="1"/>
    <col min="2" max="2" width="16.21875" bestFit="1" customWidth="1"/>
  </cols>
  <sheetData>
    <row r="4" spans="1:2">
      <c r="A4" s="53" t="s">
        <v>499</v>
      </c>
      <c r="B4" s="54"/>
    </row>
    <row r="5" spans="1:2">
      <c r="A5" s="43" t="s">
        <v>3</v>
      </c>
      <c r="B5" s="4" t="s">
        <v>495</v>
      </c>
    </row>
    <row r="6" spans="1:2">
      <c r="A6" s="44" t="s">
        <v>17</v>
      </c>
      <c r="B6" s="4">
        <v>72649.569999999992</v>
      </c>
    </row>
    <row r="7" spans="1:2">
      <c r="A7" s="44" t="s">
        <v>24</v>
      </c>
      <c r="B7" s="4">
        <v>32590.409999999996</v>
      </c>
    </row>
    <row r="8" spans="1:2">
      <c r="A8" s="44" t="s">
        <v>30</v>
      </c>
      <c r="B8" s="4">
        <v>28956.720000000005</v>
      </c>
    </row>
    <row r="9" spans="1:2">
      <c r="A9" s="44" t="s">
        <v>494</v>
      </c>
      <c r="B9" s="4">
        <v>134196.69999999998</v>
      </c>
    </row>
  </sheetData>
  <mergeCells count="1">
    <mergeCell ref="A4: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D29CF-87F0-4B48-85B3-1F30E984D71B}">
  <dimension ref="A4:B11"/>
  <sheetViews>
    <sheetView workbookViewId="0">
      <selection activeCell="A4" sqref="A4:B4"/>
    </sheetView>
  </sheetViews>
  <sheetFormatPr defaultRowHeight="14.4"/>
  <cols>
    <col min="1" max="1" width="19" bestFit="1" customWidth="1"/>
    <col min="2" max="2" width="16.21875" bestFit="1" customWidth="1"/>
  </cols>
  <sheetData>
    <row r="4" spans="1:2">
      <c r="A4" s="53" t="s">
        <v>498</v>
      </c>
      <c r="B4" s="54"/>
    </row>
    <row r="5" spans="1:2">
      <c r="A5" s="43" t="s">
        <v>497</v>
      </c>
      <c r="B5" s="4" t="s">
        <v>495</v>
      </c>
    </row>
    <row r="6" spans="1:2">
      <c r="A6" s="44" t="s">
        <v>46</v>
      </c>
      <c r="B6" s="4">
        <v>49696.369999999988</v>
      </c>
    </row>
    <row r="7" spans="1:2">
      <c r="A7" s="44" t="s">
        <v>25</v>
      </c>
      <c r="B7" s="4">
        <v>39468.280000000006</v>
      </c>
    </row>
    <row r="8" spans="1:2">
      <c r="A8" s="44" t="s">
        <v>18</v>
      </c>
      <c r="B8" s="4">
        <v>22835.329999999998</v>
      </c>
    </row>
    <row r="9" spans="1:2">
      <c r="A9" s="44" t="s">
        <v>31</v>
      </c>
      <c r="B9" s="4">
        <v>11375.360000000008</v>
      </c>
    </row>
    <row r="10" spans="1:2">
      <c r="A10" s="44" t="s">
        <v>35</v>
      </c>
      <c r="B10" s="4">
        <v>10821.359999999999</v>
      </c>
    </row>
    <row r="11" spans="1:2">
      <c r="A11" s="44" t="s">
        <v>494</v>
      </c>
      <c r="B11" s="4">
        <v>134196.69999999998</v>
      </c>
    </row>
  </sheetData>
  <mergeCells count="1">
    <mergeCell ref="A4:B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FE66D-2DE3-4C6C-A2EA-AA57AC5145AC}">
  <dimension ref="A1:E68"/>
  <sheetViews>
    <sheetView tabSelected="1" zoomScale="79" zoomScaleNormal="70" workbookViewId="0">
      <selection activeCell="G39" sqref="G39"/>
    </sheetView>
  </sheetViews>
  <sheetFormatPr defaultRowHeight="14.4"/>
  <cols>
    <col min="1" max="1" width="35.21875" customWidth="1"/>
    <col min="3" max="3" width="23.109375" customWidth="1"/>
    <col min="5" max="5" width="28.21875" customWidth="1"/>
  </cols>
  <sheetData>
    <row r="1" spans="1:5" ht="23.4">
      <c r="A1" s="46" t="s">
        <v>500</v>
      </c>
      <c r="B1" s="47"/>
      <c r="C1" s="47"/>
      <c r="D1" s="47"/>
      <c r="E1" s="47"/>
    </row>
    <row r="2" spans="1:5" ht="15.6">
      <c r="A2" s="48" t="s">
        <v>501</v>
      </c>
      <c r="B2" s="49"/>
      <c r="C2" s="50"/>
      <c r="D2" s="49"/>
      <c r="E2" s="50"/>
    </row>
    <row r="3" spans="1:5">
      <c r="A3" s="4"/>
      <c r="C3" s="4"/>
      <c r="E3" s="4"/>
    </row>
    <row r="4" spans="1:5" ht="19.8" customHeight="1">
      <c r="A4" s="10" t="s">
        <v>502</v>
      </c>
      <c r="C4" s="10" t="s">
        <v>503</v>
      </c>
      <c r="E4" s="10" t="s">
        <v>504</v>
      </c>
    </row>
    <row r="5" spans="1:5" ht="36.6" customHeight="1">
      <c r="A5" s="11" t="s">
        <v>505</v>
      </c>
      <c r="B5" s="12"/>
      <c r="C5" s="13">
        <f>COUNTA('[1]Raw Data'!A2:A421)</f>
        <v>420</v>
      </c>
      <c r="D5" s="12"/>
      <c r="E5" s="13">
        <f>SUM(Raw_Data!G2:G421)</f>
        <v>1236</v>
      </c>
    </row>
    <row r="64" ht="15" thickBot="1"/>
    <row r="65" spans="1:1" ht="16.2" thickBot="1">
      <c r="A65" s="45" t="s">
        <v>525</v>
      </c>
    </row>
    <row r="66" spans="1:1" ht="60" customHeight="1">
      <c r="A66" s="19" t="s">
        <v>526</v>
      </c>
    </row>
    <row r="67" spans="1:1" ht="72.599999999999994" customHeight="1">
      <c r="A67" s="41" t="s">
        <v>527</v>
      </c>
    </row>
    <row r="68" spans="1:1" ht="67.8" customHeight="1">
      <c r="A68" s="42" t="s">
        <v>528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1"/>
  <sheetViews>
    <sheetView showGridLines="0" zoomScale="72" workbookViewId="0">
      <pane ySplit="1" topLeftCell="A2" activePane="bottomLeft" state="frozen"/>
      <selection pane="bottomLeft" activeCell="Q1" sqref="Q1"/>
    </sheetView>
  </sheetViews>
  <sheetFormatPr defaultRowHeight="14.4"/>
  <cols>
    <col min="1" max="1" width="13.88671875" customWidth="1"/>
    <col min="2" max="2" width="17.44140625" customWidth="1"/>
    <col min="3" max="3" width="16.5546875" customWidth="1"/>
    <col min="4" max="4" width="18.33203125" customWidth="1"/>
    <col min="5" max="5" width="21.77734375" customWidth="1"/>
    <col min="6" max="6" width="21" customWidth="1"/>
    <col min="7" max="7" width="19" customWidth="1"/>
    <col min="8" max="8" width="19.21875" customWidth="1"/>
    <col min="9" max="9" width="20.109375" customWidth="1"/>
    <col min="10" max="10" width="16.6640625" customWidth="1"/>
    <col min="11" max="11" width="13.6640625" customWidth="1"/>
    <col min="12" max="12" width="18" customWidth="1"/>
    <col min="13" max="13" width="15" customWidth="1"/>
    <col min="14" max="14" width="23.5546875" customWidth="1"/>
    <col min="15" max="15" width="17.44140625" customWidth="1"/>
    <col min="16" max="16" width="23" customWidth="1"/>
  </cols>
  <sheetData>
    <row r="1" spans="1:1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</row>
    <row r="2" spans="1:15">
      <c r="A2" s="6" t="s">
        <v>77</v>
      </c>
      <c r="B2" s="3">
        <v>45690</v>
      </c>
      <c r="C2" s="4" t="s">
        <v>16</v>
      </c>
      <c r="D2" s="4" t="s">
        <v>17</v>
      </c>
      <c r="E2" s="4" t="s">
        <v>25</v>
      </c>
      <c r="F2" s="4" t="s">
        <v>63</v>
      </c>
      <c r="G2" s="4">
        <v>3</v>
      </c>
      <c r="H2" s="4">
        <v>53.04</v>
      </c>
      <c r="I2" s="4">
        <v>0</v>
      </c>
      <c r="J2" s="4">
        <v>159.12</v>
      </c>
      <c r="K2" s="4">
        <v>62.07</v>
      </c>
      <c r="L2" s="4" t="s">
        <v>40</v>
      </c>
      <c r="M2" s="4">
        <v>6</v>
      </c>
      <c r="N2" s="4">
        <v>3</v>
      </c>
      <c r="O2" s="4" t="s">
        <v>21</v>
      </c>
    </row>
    <row r="3" spans="1:15">
      <c r="A3" s="6" t="s">
        <v>377</v>
      </c>
      <c r="B3" s="3">
        <v>45940</v>
      </c>
      <c r="C3" s="4" t="s">
        <v>23</v>
      </c>
      <c r="D3" s="4" t="s">
        <v>30</v>
      </c>
      <c r="E3" s="4" t="s">
        <v>35</v>
      </c>
      <c r="F3" s="4" t="s">
        <v>36</v>
      </c>
      <c r="G3" s="4">
        <v>5</v>
      </c>
      <c r="H3" s="4">
        <v>41.3</v>
      </c>
      <c r="I3" s="4">
        <v>0.05</v>
      </c>
      <c r="J3" s="4">
        <v>196.17</v>
      </c>
      <c r="K3" s="4">
        <v>75.099999999999994</v>
      </c>
      <c r="L3" s="4" t="s">
        <v>40</v>
      </c>
      <c r="M3" s="4">
        <v>4</v>
      </c>
      <c r="N3" s="4">
        <v>1</v>
      </c>
      <c r="O3" s="4" t="s">
        <v>21</v>
      </c>
    </row>
    <row r="4" spans="1:15">
      <c r="A4" s="6" t="s">
        <v>321</v>
      </c>
      <c r="B4" s="3">
        <v>45896</v>
      </c>
      <c r="C4" s="4" t="s">
        <v>16</v>
      </c>
      <c r="D4" s="4" t="s">
        <v>30</v>
      </c>
      <c r="E4" s="4" t="s">
        <v>18</v>
      </c>
      <c r="F4" s="4" t="s">
        <v>80</v>
      </c>
      <c r="G4" s="4">
        <v>4</v>
      </c>
      <c r="H4" s="4">
        <v>111.37</v>
      </c>
      <c r="I4" s="4">
        <v>0</v>
      </c>
      <c r="J4" s="4">
        <v>445.48</v>
      </c>
      <c r="K4" s="4">
        <v>217.15</v>
      </c>
      <c r="L4" s="4" t="s">
        <v>40</v>
      </c>
      <c r="M4" s="4">
        <v>8</v>
      </c>
      <c r="N4" s="4">
        <v>4</v>
      </c>
      <c r="O4" s="4" t="s">
        <v>21</v>
      </c>
    </row>
    <row r="5" spans="1:15">
      <c r="A5" s="6" t="s">
        <v>231</v>
      </c>
      <c r="B5" s="3">
        <v>45818</v>
      </c>
      <c r="C5" s="4" t="s">
        <v>29</v>
      </c>
      <c r="D5" s="4" t="s">
        <v>17</v>
      </c>
      <c r="E5" s="4" t="s">
        <v>18</v>
      </c>
      <c r="F5" s="4" t="s">
        <v>57</v>
      </c>
      <c r="G5" s="4">
        <v>4</v>
      </c>
      <c r="H5" s="4">
        <v>41.48</v>
      </c>
      <c r="I5" s="4">
        <v>0</v>
      </c>
      <c r="J5" s="4">
        <v>165.92</v>
      </c>
      <c r="K5" s="4">
        <v>75.8</v>
      </c>
      <c r="L5" s="4" t="s">
        <v>20</v>
      </c>
      <c r="M5" s="4"/>
      <c r="N5" s="4"/>
      <c r="O5" s="4" t="s">
        <v>21</v>
      </c>
    </row>
    <row r="6" spans="1:15">
      <c r="A6" s="6" t="s">
        <v>223</v>
      </c>
      <c r="B6" s="3">
        <v>45816</v>
      </c>
      <c r="C6" s="4" t="s">
        <v>38</v>
      </c>
      <c r="D6" s="4" t="s">
        <v>24</v>
      </c>
      <c r="E6" s="4" t="s">
        <v>18</v>
      </c>
      <c r="F6" s="4" t="s">
        <v>57</v>
      </c>
      <c r="G6" s="4">
        <v>4</v>
      </c>
      <c r="H6" s="4">
        <v>45.93</v>
      </c>
      <c r="I6" s="4">
        <v>0.15</v>
      </c>
      <c r="J6" s="4">
        <v>156.16</v>
      </c>
      <c r="K6" s="4">
        <v>70.989999999999995</v>
      </c>
      <c r="L6" s="4" t="s">
        <v>40</v>
      </c>
      <c r="M6" s="4">
        <v>3</v>
      </c>
      <c r="N6" s="4">
        <v>5</v>
      </c>
      <c r="O6" s="4" t="s">
        <v>21</v>
      </c>
    </row>
    <row r="7" spans="1:15">
      <c r="A7" s="6" t="s">
        <v>418</v>
      </c>
      <c r="B7" s="3">
        <v>45971</v>
      </c>
      <c r="C7" s="4" t="s">
        <v>23</v>
      </c>
      <c r="D7" s="4" t="s">
        <v>17</v>
      </c>
      <c r="E7" s="4" t="s">
        <v>18</v>
      </c>
      <c r="F7" s="4" t="s">
        <v>57</v>
      </c>
      <c r="G7" s="4">
        <v>3</v>
      </c>
      <c r="H7" s="4">
        <v>47.21</v>
      </c>
      <c r="I7" s="4">
        <v>0</v>
      </c>
      <c r="J7" s="4">
        <v>141.63</v>
      </c>
      <c r="K7" s="4">
        <v>56.74</v>
      </c>
      <c r="L7" s="4" t="s">
        <v>40</v>
      </c>
      <c r="M7" s="4">
        <v>4</v>
      </c>
      <c r="N7" s="4">
        <v>3</v>
      </c>
      <c r="O7" s="4" t="s">
        <v>21</v>
      </c>
    </row>
    <row r="8" spans="1:15">
      <c r="A8" s="6" t="s">
        <v>75</v>
      </c>
      <c r="B8" s="3">
        <v>45689</v>
      </c>
      <c r="C8" s="4" t="s">
        <v>29</v>
      </c>
      <c r="D8" s="4" t="s">
        <v>17</v>
      </c>
      <c r="E8" s="4" t="s">
        <v>46</v>
      </c>
      <c r="F8" s="4" t="s">
        <v>47</v>
      </c>
      <c r="G8" s="4">
        <v>5</v>
      </c>
      <c r="H8" s="4">
        <v>167.18</v>
      </c>
      <c r="I8" s="4">
        <v>0</v>
      </c>
      <c r="J8" s="4">
        <v>835.9</v>
      </c>
      <c r="K8" s="4">
        <v>506.99</v>
      </c>
      <c r="L8" s="4" t="s">
        <v>33</v>
      </c>
      <c r="M8" s="4"/>
      <c r="N8" s="4"/>
      <c r="O8" s="4" t="s">
        <v>21</v>
      </c>
    </row>
    <row r="9" spans="1:15">
      <c r="A9" s="6" t="s">
        <v>341</v>
      </c>
      <c r="B9" s="3">
        <v>45912</v>
      </c>
      <c r="C9" s="4" t="s">
        <v>23</v>
      </c>
      <c r="D9" s="4" t="s">
        <v>24</v>
      </c>
      <c r="E9" s="4" t="s">
        <v>46</v>
      </c>
      <c r="F9" s="4" t="s">
        <v>47</v>
      </c>
      <c r="G9" s="4">
        <v>3</v>
      </c>
      <c r="H9" s="4">
        <v>168.29</v>
      </c>
      <c r="I9" s="4">
        <v>0</v>
      </c>
      <c r="J9" s="4">
        <v>504.87</v>
      </c>
      <c r="K9" s="4">
        <v>264.63</v>
      </c>
      <c r="L9" s="4" t="s">
        <v>40</v>
      </c>
      <c r="M9" s="4">
        <v>7</v>
      </c>
      <c r="N9" s="4">
        <v>2</v>
      </c>
      <c r="O9" s="4" t="s">
        <v>21</v>
      </c>
    </row>
    <row r="10" spans="1:15">
      <c r="A10" s="6" t="s">
        <v>138</v>
      </c>
      <c r="B10" s="3">
        <v>45731</v>
      </c>
      <c r="C10" s="4" t="s">
        <v>16</v>
      </c>
      <c r="D10" s="4" t="s">
        <v>17</v>
      </c>
      <c r="E10" s="4" t="s">
        <v>35</v>
      </c>
      <c r="F10" s="4" t="s">
        <v>36</v>
      </c>
      <c r="G10" s="4">
        <v>3</v>
      </c>
      <c r="H10" s="4">
        <v>42.81</v>
      </c>
      <c r="I10" s="4">
        <v>0.15</v>
      </c>
      <c r="J10" s="4">
        <v>109.17</v>
      </c>
      <c r="K10" s="4">
        <v>38.93</v>
      </c>
      <c r="L10" s="4" t="s">
        <v>40</v>
      </c>
      <c r="M10" s="4">
        <v>2</v>
      </c>
      <c r="N10" s="4">
        <v>4</v>
      </c>
      <c r="O10" s="4" t="s">
        <v>21</v>
      </c>
    </row>
    <row r="11" spans="1:15">
      <c r="A11" s="6" t="s">
        <v>84</v>
      </c>
      <c r="B11" s="3">
        <v>45692</v>
      </c>
      <c r="C11" s="4" t="s">
        <v>29</v>
      </c>
      <c r="D11" s="4" t="s">
        <v>17</v>
      </c>
      <c r="E11" s="4" t="s">
        <v>35</v>
      </c>
      <c r="F11" s="4" t="s">
        <v>55</v>
      </c>
      <c r="G11" s="4">
        <v>2</v>
      </c>
      <c r="H11" s="4">
        <v>55.26</v>
      </c>
      <c r="I11" s="4">
        <v>0.05</v>
      </c>
      <c r="J11" s="4">
        <v>104.99</v>
      </c>
      <c r="K11" s="4">
        <v>41.2</v>
      </c>
      <c r="L11" s="4" t="s">
        <v>40</v>
      </c>
      <c r="M11" s="4">
        <v>4</v>
      </c>
      <c r="N11" s="4">
        <v>5</v>
      </c>
      <c r="O11" s="4" t="s">
        <v>21</v>
      </c>
    </row>
    <row r="12" spans="1:15">
      <c r="A12" s="6" t="s">
        <v>277</v>
      </c>
      <c r="B12" s="3">
        <v>45850</v>
      </c>
      <c r="C12" s="4" t="s">
        <v>29</v>
      </c>
      <c r="D12" s="4" t="s">
        <v>30</v>
      </c>
      <c r="E12" s="4" t="s">
        <v>46</v>
      </c>
      <c r="F12" s="4" t="s">
        <v>68</v>
      </c>
      <c r="G12" s="4">
        <v>5</v>
      </c>
      <c r="H12" s="4">
        <v>104.11</v>
      </c>
      <c r="I12" s="4">
        <v>0.15</v>
      </c>
      <c r="J12" s="4">
        <v>442.47</v>
      </c>
      <c r="K12" s="4">
        <v>251.6</v>
      </c>
      <c r="L12" s="4" t="s">
        <v>33</v>
      </c>
      <c r="M12" s="4"/>
      <c r="N12" s="4"/>
      <c r="O12" s="4" t="s">
        <v>21</v>
      </c>
    </row>
    <row r="13" spans="1:15">
      <c r="A13" s="6" t="s">
        <v>460</v>
      </c>
      <c r="B13" s="3">
        <v>46014</v>
      </c>
      <c r="C13" s="4" t="s">
        <v>16</v>
      </c>
      <c r="D13" s="4" t="s">
        <v>24</v>
      </c>
      <c r="E13" s="4" t="s">
        <v>46</v>
      </c>
      <c r="F13" s="4" t="s">
        <v>68</v>
      </c>
      <c r="G13" s="4">
        <v>5</v>
      </c>
      <c r="H13" s="4">
        <v>101.79</v>
      </c>
      <c r="I13" s="4">
        <v>0.05</v>
      </c>
      <c r="J13" s="4">
        <v>483.5</v>
      </c>
      <c r="K13" s="4">
        <v>238.57</v>
      </c>
      <c r="L13" s="4" t="s">
        <v>40</v>
      </c>
      <c r="M13" s="4">
        <v>2</v>
      </c>
      <c r="N13" s="4">
        <v>2</v>
      </c>
      <c r="O13" s="4" t="s">
        <v>21</v>
      </c>
    </row>
    <row r="14" spans="1:15">
      <c r="A14" s="6" t="s">
        <v>358</v>
      </c>
      <c r="B14" s="3">
        <v>45926</v>
      </c>
      <c r="C14" s="4" t="s">
        <v>23</v>
      </c>
      <c r="D14" s="4" t="s">
        <v>17</v>
      </c>
      <c r="E14" s="4" t="s">
        <v>46</v>
      </c>
      <c r="F14" s="4" t="s">
        <v>49</v>
      </c>
      <c r="G14" s="4">
        <v>3</v>
      </c>
      <c r="H14" s="4">
        <v>302.88</v>
      </c>
      <c r="I14" s="4">
        <v>0.05</v>
      </c>
      <c r="J14" s="4">
        <v>863.21</v>
      </c>
      <c r="K14" s="4">
        <v>557.91999999999996</v>
      </c>
      <c r="L14" s="4" t="s">
        <v>40</v>
      </c>
      <c r="M14" s="4">
        <v>3</v>
      </c>
      <c r="N14" s="4">
        <v>1</v>
      </c>
      <c r="O14" s="4" t="s">
        <v>21</v>
      </c>
    </row>
    <row r="15" spans="1:15">
      <c r="A15" s="6" t="s">
        <v>370</v>
      </c>
      <c r="B15" s="3">
        <v>45935</v>
      </c>
      <c r="C15" s="4" t="s">
        <v>16</v>
      </c>
      <c r="D15" s="4" t="s">
        <v>30</v>
      </c>
      <c r="E15" s="4" t="s">
        <v>35</v>
      </c>
      <c r="F15" s="4" t="s">
        <v>36</v>
      </c>
      <c r="G15" s="4">
        <v>4</v>
      </c>
      <c r="H15" s="4">
        <v>39.85</v>
      </c>
      <c r="I15" s="4">
        <v>0.15</v>
      </c>
      <c r="J15" s="4">
        <v>135.49</v>
      </c>
      <c r="K15" s="4">
        <v>54.46</v>
      </c>
      <c r="L15" s="4" t="s">
        <v>14</v>
      </c>
      <c r="M15" s="4">
        <v>4</v>
      </c>
      <c r="N15" s="4">
        <v>4</v>
      </c>
      <c r="O15" s="4" t="s">
        <v>27</v>
      </c>
    </row>
    <row r="16" spans="1:15">
      <c r="A16" s="6" t="s">
        <v>350</v>
      </c>
      <c r="B16" s="3">
        <v>45919</v>
      </c>
      <c r="C16" s="4" t="s">
        <v>23</v>
      </c>
      <c r="D16" s="4" t="s">
        <v>30</v>
      </c>
      <c r="E16" s="4" t="s">
        <v>31</v>
      </c>
      <c r="F16" s="4" t="s">
        <v>32</v>
      </c>
      <c r="G16" s="4">
        <v>3</v>
      </c>
      <c r="H16" s="4">
        <v>33.520000000000003</v>
      </c>
      <c r="I16" s="4">
        <v>0.1</v>
      </c>
      <c r="J16" s="4">
        <v>90.5</v>
      </c>
      <c r="K16" s="4">
        <v>52.92</v>
      </c>
      <c r="L16" s="4" t="s">
        <v>40</v>
      </c>
      <c r="M16" s="4">
        <v>2</v>
      </c>
      <c r="N16" s="4">
        <v>5</v>
      </c>
      <c r="O16" s="4" t="s">
        <v>21</v>
      </c>
    </row>
    <row r="17" spans="1:15">
      <c r="A17" s="6" t="s">
        <v>385</v>
      </c>
      <c r="B17" s="3">
        <v>45944</v>
      </c>
      <c r="C17" s="4" t="s">
        <v>16</v>
      </c>
      <c r="D17" s="4" t="s">
        <v>30</v>
      </c>
      <c r="E17" s="4" t="s">
        <v>25</v>
      </c>
      <c r="F17" s="4" t="s">
        <v>26</v>
      </c>
      <c r="G17" s="4">
        <v>4</v>
      </c>
      <c r="H17" s="4">
        <v>220.06</v>
      </c>
      <c r="I17" s="4">
        <v>0.1</v>
      </c>
      <c r="J17" s="4">
        <v>792.22</v>
      </c>
      <c r="K17" s="4">
        <v>556.27</v>
      </c>
      <c r="L17" s="4" t="s">
        <v>40</v>
      </c>
      <c r="M17" s="4">
        <v>2</v>
      </c>
      <c r="N17" s="4">
        <v>5</v>
      </c>
      <c r="O17" s="4" t="s">
        <v>21</v>
      </c>
    </row>
    <row r="18" spans="1:15">
      <c r="A18" s="6" t="s">
        <v>273</v>
      </c>
      <c r="B18" s="3">
        <v>45845</v>
      </c>
      <c r="C18" s="4" t="s">
        <v>16</v>
      </c>
      <c r="D18" s="4" t="s">
        <v>24</v>
      </c>
      <c r="E18" s="4" t="s">
        <v>25</v>
      </c>
      <c r="F18" s="4" t="s">
        <v>89</v>
      </c>
      <c r="G18" s="4">
        <v>4</v>
      </c>
      <c r="H18" s="4">
        <v>119.81</v>
      </c>
      <c r="I18" s="4">
        <v>0.1</v>
      </c>
      <c r="J18" s="4">
        <v>431.32</v>
      </c>
      <c r="K18" s="4">
        <v>199.79</v>
      </c>
      <c r="L18" s="4" t="s">
        <v>20</v>
      </c>
      <c r="M18" s="4"/>
      <c r="N18" s="4"/>
      <c r="O18" s="4" t="s">
        <v>21</v>
      </c>
    </row>
    <row r="19" spans="1:15">
      <c r="A19" s="6" t="s">
        <v>99</v>
      </c>
      <c r="B19" s="3">
        <v>45704</v>
      </c>
      <c r="C19" s="4" t="s">
        <v>16</v>
      </c>
      <c r="D19" s="4" t="s">
        <v>30</v>
      </c>
      <c r="E19" s="4" t="s">
        <v>46</v>
      </c>
      <c r="F19" s="4" t="s">
        <v>49</v>
      </c>
      <c r="G19" s="4">
        <v>1</v>
      </c>
      <c r="H19" s="4">
        <v>317.82</v>
      </c>
      <c r="I19" s="4">
        <v>0.1</v>
      </c>
      <c r="J19" s="4">
        <v>286.04000000000002</v>
      </c>
      <c r="K19" s="4">
        <v>190.69</v>
      </c>
      <c r="L19" s="4" t="s">
        <v>40</v>
      </c>
      <c r="M19" s="4">
        <v>5</v>
      </c>
      <c r="N19" s="4">
        <v>3</v>
      </c>
      <c r="O19" s="4" t="s">
        <v>21</v>
      </c>
    </row>
    <row r="20" spans="1:15">
      <c r="A20" s="6" t="s">
        <v>409</v>
      </c>
      <c r="B20" s="3">
        <v>45964</v>
      </c>
      <c r="C20" s="4" t="s">
        <v>23</v>
      </c>
      <c r="D20" s="4" t="s">
        <v>30</v>
      </c>
      <c r="E20" s="4" t="s">
        <v>25</v>
      </c>
      <c r="F20" s="4" t="s">
        <v>26</v>
      </c>
      <c r="G20" s="4">
        <v>5</v>
      </c>
      <c r="H20" s="4">
        <v>221.62</v>
      </c>
      <c r="I20" s="4">
        <v>0</v>
      </c>
      <c r="J20" s="4">
        <v>1108.0999999999999</v>
      </c>
      <c r="K20" s="4">
        <v>607.12</v>
      </c>
      <c r="L20" s="4" t="s">
        <v>40</v>
      </c>
      <c r="M20" s="4">
        <v>6</v>
      </c>
      <c r="N20" s="4">
        <v>2</v>
      </c>
      <c r="O20" s="4" t="s">
        <v>21</v>
      </c>
    </row>
    <row r="21" spans="1:15">
      <c r="A21" s="6" t="s">
        <v>239</v>
      </c>
      <c r="B21" s="3">
        <v>45822</v>
      </c>
      <c r="C21" s="4" t="s">
        <v>71</v>
      </c>
      <c r="D21" s="4" t="s">
        <v>17</v>
      </c>
      <c r="E21" s="4" t="s">
        <v>35</v>
      </c>
      <c r="F21" s="4" t="s">
        <v>36</v>
      </c>
      <c r="G21" s="4">
        <v>4</v>
      </c>
      <c r="H21" s="4">
        <v>38.159999999999997</v>
      </c>
      <c r="I21" s="4">
        <v>0.1</v>
      </c>
      <c r="J21" s="4">
        <v>137.38</v>
      </c>
      <c r="K21" s="4">
        <v>54.78</v>
      </c>
      <c r="L21" s="4" t="s">
        <v>14</v>
      </c>
      <c r="M21" s="4">
        <v>8</v>
      </c>
      <c r="N21" s="4">
        <v>1</v>
      </c>
      <c r="O21" s="4" t="s">
        <v>27</v>
      </c>
    </row>
    <row r="22" spans="1:15">
      <c r="A22" s="6" t="s">
        <v>269</v>
      </c>
      <c r="B22" s="3">
        <v>45840</v>
      </c>
      <c r="C22" s="4" t="s">
        <v>29</v>
      </c>
      <c r="D22" s="4" t="s">
        <v>17</v>
      </c>
      <c r="E22" s="4" t="s">
        <v>31</v>
      </c>
      <c r="F22" s="4" t="s">
        <v>32</v>
      </c>
      <c r="G22" s="4">
        <v>3</v>
      </c>
      <c r="H22" s="4">
        <v>36.61</v>
      </c>
      <c r="I22" s="4">
        <v>0.05</v>
      </c>
      <c r="J22" s="4">
        <v>104.34</v>
      </c>
      <c r="K22" s="4">
        <v>51.43</v>
      </c>
      <c r="L22" s="4" t="s">
        <v>14</v>
      </c>
      <c r="M22" s="4">
        <v>8</v>
      </c>
      <c r="N22" s="4">
        <v>1</v>
      </c>
      <c r="O22" s="4" t="s">
        <v>27</v>
      </c>
    </row>
    <row r="23" spans="1:15">
      <c r="A23" s="6" t="s">
        <v>206</v>
      </c>
      <c r="B23" s="3">
        <v>45793</v>
      </c>
      <c r="C23" s="4" t="s">
        <v>16</v>
      </c>
      <c r="D23" s="4" t="s">
        <v>17</v>
      </c>
      <c r="E23" s="4" t="s">
        <v>31</v>
      </c>
      <c r="F23" s="4" t="s">
        <v>32</v>
      </c>
      <c r="G23" s="4">
        <v>1</v>
      </c>
      <c r="H23" s="4">
        <v>32.33</v>
      </c>
      <c r="I23" s="4">
        <v>0.2</v>
      </c>
      <c r="J23" s="4">
        <v>25.86</v>
      </c>
      <c r="K23" s="4">
        <v>17.95</v>
      </c>
      <c r="L23" s="4" t="s">
        <v>20</v>
      </c>
      <c r="M23" s="4"/>
      <c r="N23" s="4"/>
      <c r="O23" s="4" t="s">
        <v>21</v>
      </c>
    </row>
    <row r="24" spans="1:15">
      <c r="A24" s="6" t="s">
        <v>130</v>
      </c>
      <c r="B24" s="3">
        <v>45724</v>
      </c>
      <c r="C24" s="4" t="s">
        <v>16</v>
      </c>
      <c r="D24" s="4" t="s">
        <v>17</v>
      </c>
      <c r="E24" s="4" t="s">
        <v>25</v>
      </c>
      <c r="F24" s="4" t="s">
        <v>26</v>
      </c>
      <c r="G24" s="4">
        <v>4</v>
      </c>
      <c r="H24" s="4">
        <v>237.81</v>
      </c>
      <c r="I24" s="4">
        <v>0</v>
      </c>
      <c r="J24" s="4">
        <v>951.24</v>
      </c>
      <c r="K24" s="4">
        <v>547.07000000000005</v>
      </c>
      <c r="L24" s="4" t="s">
        <v>40</v>
      </c>
      <c r="M24" s="4">
        <v>3</v>
      </c>
      <c r="N24" s="4">
        <v>1</v>
      </c>
      <c r="O24" s="4" t="s">
        <v>21</v>
      </c>
    </row>
    <row r="25" spans="1:15">
      <c r="A25" s="6" t="s">
        <v>438</v>
      </c>
      <c r="B25" s="3">
        <v>45996</v>
      </c>
      <c r="C25" s="4" t="s">
        <v>29</v>
      </c>
      <c r="D25" s="4" t="s">
        <v>30</v>
      </c>
      <c r="E25" s="4" t="s">
        <v>31</v>
      </c>
      <c r="F25" s="4" t="s">
        <v>91</v>
      </c>
      <c r="G25" s="4">
        <v>4</v>
      </c>
      <c r="H25" s="4">
        <v>71.459999999999994</v>
      </c>
      <c r="I25" s="4">
        <v>0</v>
      </c>
      <c r="J25" s="4">
        <v>285.83999999999997</v>
      </c>
      <c r="K25" s="4">
        <v>144.25</v>
      </c>
      <c r="L25" s="4" t="s">
        <v>20</v>
      </c>
      <c r="M25" s="4"/>
      <c r="N25" s="4"/>
      <c r="O25" s="4" t="s">
        <v>21</v>
      </c>
    </row>
    <row r="26" spans="1:15">
      <c r="A26" s="6" t="s">
        <v>383</v>
      </c>
      <c r="B26" s="3">
        <v>45943</v>
      </c>
      <c r="C26" s="4" t="s">
        <v>23</v>
      </c>
      <c r="D26" s="4" t="s">
        <v>17</v>
      </c>
      <c r="E26" s="4" t="s">
        <v>46</v>
      </c>
      <c r="F26" s="4" t="s">
        <v>49</v>
      </c>
      <c r="G26" s="4">
        <v>5</v>
      </c>
      <c r="H26" s="4">
        <v>329.61</v>
      </c>
      <c r="I26" s="4">
        <v>0.1</v>
      </c>
      <c r="J26" s="4">
        <v>1483.25</v>
      </c>
      <c r="K26" s="4">
        <v>887.75</v>
      </c>
      <c r="L26" s="4" t="s">
        <v>33</v>
      </c>
      <c r="M26" s="4"/>
      <c r="N26" s="4"/>
      <c r="O26" s="4" t="s">
        <v>21</v>
      </c>
    </row>
    <row r="27" spans="1:15">
      <c r="A27" s="6" t="s">
        <v>318</v>
      </c>
      <c r="B27" s="3">
        <v>45893</v>
      </c>
      <c r="C27" s="4" t="s">
        <v>38</v>
      </c>
      <c r="D27" s="4" t="s">
        <v>17</v>
      </c>
      <c r="E27" s="4" t="s">
        <v>46</v>
      </c>
      <c r="F27" s="4" t="s">
        <v>68</v>
      </c>
      <c r="G27" s="4">
        <v>5</v>
      </c>
      <c r="H27" s="4">
        <v>102.8</v>
      </c>
      <c r="I27" s="4">
        <v>0</v>
      </c>
      <c r="J27" s="4">
        <v>514</v>
      </c>
      <c r="K27" s="4">
        <v>246</v>
      </c>
      <c r="L27" s="4" t="s">
        <v>20</v>
      </c>
      <c r="M27" s="4"/>
      <c r="N27" s="4"/>
      <c r="O27" s="4" t="s">
        <v>21</v>
      </c>
    </row>
    <row r="28" spans="1:15">
      <c r="A28" s="6" t="s">
        <v>213</v>
      </c>
      <c r="B28" s="3">
        <v>45804</v>
      </c>
      <c r="C28" s="4" t="s">
        <v>29</v>
      </c>
      <c r="D28" s="4" t="s">
        <v>30</v>
      </c>
      <c r="E28" s="4" t="s">
        <v>46</v>
      </c>
      <c r="F28" s="4" t="s">
        <v>68</v>
      </c>
      <c r="G28" s="4">
        <v>4</v>
      </c>
      <c r="H28" s="4">
        <v>90.03</v>
      </c>
      <c r="I28" s="4">
        <v>0.15</v>
      </c>
      <c r="J28" s="4">
        <v>306.10000000000002</v>
      </c>
      <c r="K28" s="4">
        <v>202.73</v>
      </c>
      <c r="L28" s="4" t="s">
        <v>40</v>
      </c>
      <c r="M28" s="4">
        <v>1</v>
      </c>
      <c r="N28" s="4">
        <v>1</v>
      </c>
      <c r="O28" s="4" t="s">
        <v>21</v>
      </c>
    </row>
    <row r="29" spans="1:15">
      <c r="A29" s="6" t="s">
        <v>401</v>
      </c>
      <c r="B29" s="3">
        <v>45958</v>
      </c>
      <c r="C29" s="4" t="s">
        <v>29</v>
      </c>
      <c r="D29" s="4" t="s">
        <v>24</v>
      </c>
      <c r="E29" s="4" t="s">
        <v>25</v>
      </c>
      <c r="F29" s="4" t="s">
        <v>63</v>
      </c>
      <c r="G29" s="4">
        <v>5</v>
      </c>
      <c r="H29" s="4">
        <v>47.02</v>
      </c>
      <c r="I29" s="4">
        <v>0</v>
      </c>
      <c r="J29" s="4">
        <v>235.1</v>
      </c>
      <c r="K29" s="4">
        <v>94</v>
      </c>
      <c r="L29" s="4" t="s">
        <v>20</v>
      </c>
      <c r="M29" s="4"/>
      <c r="N29" s="4"/>
      <c r="O29" s="4" t="s">
        <v>21</v>
      </c>
    </row>
    <row r="30" spans="1:15">
      <c r="A30" s="6" t="s">
        <v>284</v>
      </c>
      <c r="B30" s="3">
        <v>45857</v>
      </c>
      <c r="C30" s="4" t="s">
        <v>29</v>
      </c>
      <c r="D30" s="4" t="s">
        <v>30</v>
      </c>
      <c r="E30" s="4" t="s">
        <v>25</v>
      </c>
      <c r="F30" s="4" t="s">
        <v>26</v>
      </c>
      <c r="G30" s="4">
        <v>5</v>
      </c>
      <c r="H30" s="4">
        <v>251.26</v>
      </c>
      <c r="I30" s="4">
        <v>0</v>
      </c>
      <c r="J30" s="4">
        <v>1256.3</v>
      </c>
      <c r="K30" s="4">
        <v>618.08000000000004</v>
      </c>
      <c r="L30" s="4" t="s">
        <v>40</v>
      </c>
      <c r="M30" s="4">
        <v>3</v>
      </c>
      <c r="N30" s="4">
        <v>4</v>
      </c>
      <c r="O30" s="4" t="s">
        <v>21</v>
      </c>
    </row>
    <row r="31" spans="1:15">
      <c r="A31" s="6" t="s">
        <v>234</v>
      </c>
      <c r="B31" s="3">
        <v>45819</v>
      </c>
      <c r="C31" s="4" t="s">
        <v>16</v>
      </c>
      <c r="D31" s="4" t="s">
        <v>17</v>
      </c>
      <c r="E31" s="4" t="s">
        <v>46</v>
      </c>
      <c r="F31" s="4" t="s">
        <v>49</v>
      </c>
      <c r="G31" s="4">
        <v>1</v>
      </c>
      <c r="H31" s="4">
        <v>344.59</v>
      </c>
      <c r="I31" s="4">
        <v>0</v>
      </c>
      <c r="J31" s="4">
        <v>344.59</v>
      </c>
      <c r="K31" s="4">
        <v>196.37</v>
      </c>
      <c r="L31" s="4" t="s">
        <v>33</v>
      </c>
      <c r="M31" s="4"/>
      <c r="N31" s="4"/>
      <c r="O31" s="4" t="s">
        <v>21</v>
      </c>
    </row>
    <row r="32" spans="1:15">
      <c r="A32" s="6" t="s">
        <v>241</v>
      </c>
      <c r="B32" s="3">
        <v>45822</v>
      </c>
      <c r="C32" s="4" t="s">
        <v>38</v>
      </c>
      <c r="D32" s="4" t="s">
        <v>30</v>
      </c>
      <c r="E32" s="4" t="s">
        <v>46</v>
      </c>
      <c r="F32" s="4" t="s">
        <v>49</v>
      </c>
      <c r="G32" s="4">
        <v>5</v>
      </c>
      <c r="H32" s="4">
        <v>338.18</v>
      </c>
      <c r="I32" s="4">
        <v>0.05</v>
      </c>
      <c r="J32" s="4">
        <v>1606.36</v>
      </c>
      <c r="K32" s="4">
        <v>970.73</v>
      </c>
      <c r="L32" s="4" t="s">
        <v>14</v>
      </c>
      <c r="M32" s="4">
        <v>5</v>
      </c>
      <c r="N32" s="4">
        <v>3</v>
      </c>
      <c r="O32" s="4" t="s">
        <v>27</v>
      </c>
    </row>
    <row r="33" spans="1:15">
      <c r="A33" s="6" t="s">
        <v>141</v>
      </c>
      <c r="B33" s="3">
        <v>45740</v>
      </c>
      <c r="C33" s="4" t="s">
        <v>16</v>
      </c>
      <c r="D33" s="4" t="s">
        <v>17</v>
      </c>
      <c r="E33" s="4" t="s">
        <v>18</v>
      </c>
      <c r="F33" s="4" t="s">
        <v>80</v>
      </c>
      <c r="G33" s="4">
        <v>3</v>
      </c>
      <c r="H33" s="4">
        <v>130.57</v>
      </c>
      <c r="I33" s="4">
        <v>0.1</v>
      </c>
      <c r="J33" s="4">
        <v>352.54</v>
      </c>
      <c r="K33" s="4">
        <v>155.72</v>
      </c>
      <c r="L33" s="4" t="s">
        <v>33</v>
      </c>
      <c r="M33" s="4"/>
      <c r="N33" s="4"/>
      <c r="O33" s="4" t="s">
        <v>21</v>
      </c>
    </row>
    <row r="34" spans="1:15">
      <c r="A34" s="6" t="s">
        <v>79</v>
      </c>
      <c r="B34" s="3">
        <v>45691</v>
      </c>
      <c r="C34" s="4" t="s">
        <v>16</v>
      </c>
      <c r="D34" s="4" t="s">
        <v>24</v>
      </c>
      <c r="E34" s="4" t="s">
        <v>18</v>
      </c>
      <c r="F34" s="4" t="s">
        <v>80</v>
      </c>
      <c r="G34" s="4">
        <v>1</v>
      </c>
      <c r="H34" s="4">
        <v>114.67</v>
      </c>
      <c r="I34" s="4">
        <v>0</v>
      </c>
      <c r="J34" s="4">
        <v>114.67</v>
      </c>
      <c r="K34" s="4">
        <v>53.28</v>
      </c>
      <c r="L34" s="4" t="s">
        <v>33</v>
      </c>
      <c r="M34" s="4"/>
      <c r="N34" s="4"/>
      <c r="O34" s="4" t="s">
        <v>21</v>
      </c>
    </row>
    <row r="35" spans="1:15">
      <c r="A35" s="6" t="s">
        <v>286</v>
      </c>
      <c r="B35" s="3">
        <v>45860</v>
      </c>
      <c r="C35" s="4" t="s">
        <v>23</v>
      </c>
      <c r="D35" s="4" t="s">
        <v>17</v>
      </c>
      <c r="E35" s="4" t="s">
        <v>35</v>
      </c>
      <c r="F35" s="4" t="s">
        <v>55</v>
      </c>
      <c r="G35" s="4">
        <v>1</v>
      </c>
      <c r="H35" s="4">
        <v>55.97</v>
      </c>
      <c r="I35" s="4">
        <v>0</v>
      </c>
      <c r="J35" s="4">
        <v>55.97</v>
      </c>
      <c r="K35" s="4">
        <v>21.36</v>
      </c>
      <c r="L35" s="4" t="s">
        <v>40</v>
      </c>
      <c r="M35" s="4">
        <v>4</v>
      </c>
      <c r="N35" s="4">
        <v>3</v>
      </c>
      <c r="O35" s="4" t="s">
        <v>21</v>
      </c>
    </row>
    <row r="36" spans="1:15">
      <c r="A36" s="6" t="s">
        <v>421</v>
      </c>
      <c r="B36" s="3">
        <v>45982</v>
      </c>
      <c r="C36" s="4" t="s">
        <v>38</v>
      </c>
      <c r="D36" s="4" t="s">
        <v>30</v>
      </c>
      <c r="E36" s="4" t="s">
        <v>35</v>
      </c>
      <c r="F36" s="4" t="s">
        <v>39</v>
      </c>
      <c r="G36" s="4">
        <v>3</v>
      </c>
      <c r="H36" s="4">
        <v>78.03</v>
      </c>
      <c r="I36" s="4">
        <v>0.1</v>
      </c>
      <c r="J36" s="4">
        <v>210.68</v>
      </c>
      <c r="K36" s="4">
        <v>98.27</v>
      </c>
      <c r="L36" s="4" t="s">
        <v>33</v>
      </c>
      <c r="M36" s="4"/>
      <c r="N36" s="4"/>
      <c r="O36" s="4" t="s">
        <v>21</v>
      </c>
    </row>
    <row r="37" spans="1:15">
      <c r="A37" s="6" t="s">
        <v>64</v>
      </c>
      <c r="B37" s="3">
        <v>45681</v>
      </c>
      <c r="C37" s="4" t="s">
        <v>38</v>
      </c>
      <c r="D37" s="4" t="s">
        <v>30</v>
      </c>
      <c r="E37" s="4" t="s">
        <v>18</v>
      </c>
      <c r="F37" s="4" t="s">
        <v>19</v>
      </c>
      <c r="G37" s="4">
        <v>1</v>
      </c>
      <c r="H37" s="4">
        <v>145.82</v>
      </c>
      <c r="I37" s="4">
        <v>0.1</v>
      </c>
      <c r="J37" s="4">
        <v>131.24</v>
      </c>
      <c r="K37" s="4">
        <v>78.16</v>
      </c>
      <c r="L37" s="4" t="s">
        <v>40</v>
      </c>
      <c r="M37" s="4">
        <v>2</v>
      </c>
      <c r="N37" s="4">
        <v>5</v>
      </c>
      <c r="O37" s="4" t="s">
        <v>21</v>
      </c>
    </row>
    <row r="38" spans="1:15">
      <c r="A38" s="6" t="s">
        <v>417</v>
      </c>
      <c r="B38" s="3">
        <v>45971</v>
      </c>
      <c r="C38" s="4" t="s">
        <v>16</v>
      </c>
      <c r="D38" s="4" t="s">
        <v>17</v>
      </c>
      <c r="E38" s="4" t="s">
        <v>18</v>
      </c>
      <c r="F38" s="4" t="s">
        <v>57</v>
      </c>
      <c r="G38" s="4">
        <v>3</v>
      </c>
      <c r="H38" s="4">
        <v>43.33</v>
      </c>
      <c r="I38" s="4">
        <v>0.1</v>
      </c>
      <c r="J38" s="4">
        <v>116.99</v>
      </c>
      <c r="K38" s="4">
        <v>56.91</v>
      </c>
      <c r="L38" s="4" t="s">
        <v>40</v>
      </c>
      <c r="M38" s="4">
        <v>4</v>
      </c>
      <c r="N38" s="4">
        <v>5</v>
      </c>
      <c r="O38" s="4" t="s">
        <v>21</v>
      </c>
    </row>
    <row r="39" spans="1:15">
      <c r="A39" s="6" t="s">
        <v>404</v>
      </c>
      <c r="B39" s="3">
        <v>45960</v>
      </c>
      <c r="C39" s="4" t="s">
        <v>38</v>
      </c>
      <c r="D39" s="4" t="s">
        <v>17</v>
      </c>
      <c r="E39" s="4" t="s">
        <v>46</v>
      </c>
      <c r="F39" s="4" t="s">
        <v>68</v>
      </c>
      <c r="G39" s="4">
        <v>1</v>
      </c>
      <c r="H39" s="4">
        <v>88.79</v>
      </c>
      <c r="I39" s="4">
        <v>0</v>
      </c>
      <c r="J39" s="4">
        <v>88.79</v>
      </c>
      <c r="K39" s="4">
        <v>46.57</v>
      </c>
      <c r="L39" s="4" t="s">
        <v>40</v>
      </c>
      <c r="M39" s="4">
        <v>4</v>
      </c>
      <c r="N39" s="4">
        <v>5</v>
      </c>
      <c r="O39" s="4" t="s">
        <v>21</v>
      </c>
    </row>
    <row r="40" spans="1:15">
      <c r="A40" s="6" t="s">
        <v>163</v>
      </c>
      <c r="B40" s="3">
        <v>45759</v>
      </c>
      <c r="C40" s="4" t="s">
        <v>29</v>
      </c>
      <c r="D40" s="4" t="s">
        <v>30</v>
      </c>
      <c r="E40" s="4" t="s">
        <v>31</v>
      </c>
      <c r="F40" s="4" t="s">
        <v>32</v>
      </c>
      <c r="G40" s="4">
        <v>2</v>
      </c>
      <c r="H40" s="4">
        <v>35.71</v>
      </c>
      <c r="I40" s="4">
        <v>0</v>
      </c>
      <c r="J40" s="4">
        <v>71.42</v>
      </c>
      <c r="K40" s="4">
        <v>31.93</v>
      </c>
      <c r="L40" s="4" t="s">
        <v>40</v>
      </c>
      <c r="M40" s="4">
        <v>3</v>
      </c>
      <c r="N40" s="4">
        <v>3</v>
      </c>
      <c r="O40" s="4" t="s">
        <v>21</v>
      </c>
    </row>
    <row r="41" spans="1:15">
      <c r="A41" s="6" t="s">
        <v>313</v>
      </c>
      <c r="B41" s="3">
        <v>45888</v>
      </c>
      <c r="C41" s="4" t="s">
        <v>29</v>
      </c>
      <c r="D41" s="4" t="s">
        <v>17</v>
      </c>
      <c r="E41" s="4" t="s">
        <v>35</v>
      </c>
      <c r="F41" s="4" t="s">
        <v>36</v>
      </c>
      <c r="G41" s="4">
        <v>4</v>
      </c>
      <c r="H41" s="4">
        <v>39.1</v>
      </c>
      <c r="I41" s="4">
        <v>0.1</v>
      </c>
      <c r="J41" s="4">
        <v>140.76</v>
      </c>
      <c r="K41" s="4">
        <v>57.26</v>
      </c>
      <c r="L41" s="4" t="s">
        <v>33</v>
      </c>
      <c r="M41" s="4"/>
      <c r="N41" s="4"/>
      <c r="O41" s="4" t="s">
        <v>21</v>
      </c>
    </row>
    <row r="42" spans="1:15">
      <c r="A42" s="6" t="s">
        <v>120</v>
      </c>
      <c r="B42" s="3">
        <v>45718</v>
      </c>
      <c r="C42" s="4" t="s">
        <v>29</v>
      </c>
      <c r="D42" s="4" t="s">
        <v>30</v>
      </c>
      <c r="E42" s="4" t="s">
        <v>18</v>
      </c>
      <c r="F42" s="4" t="s">
        <v>19</v>
      </c>
      <c r="G42" s="4">
        <v>1</v>
      </c>
      <c r="H42" s="4">
        <v>160.09</v>
      </c>
      <c r="I42" s="4">
        <v>0</v>
      </c>
      <c r="J42" s="4">
        <v>160.09</v>
      </c>
      <c r="K42" s="4">
        <v>84.1</v>
      </c>
      <c r="L42" s="4" t="s">
        <v>14</v>
      </c>
      <c r="M42" s="4">
        <v>5</v>
      </c>
      <c r="N42" s="4">
        <v>4</v>
      </c>
      <c r="O42" s="4" t="s">
        <v>27</v>
      </c>
    </row>
    <row r="43" spans="1:15">
      <c r="A43" s="6" t="s">
        <v>366</v>
      </c>
      <c r="B43" s="3">
        <v>45934</v>
      </c>
      <c r="C43" s="4" t="s">
        <v>16</v>
      </c>
      <c r="D43" s="4" t="s">
        <v>17</v>
      </c>
      <c r="E43" s="4" t="s">
        <v>18</v>
      </c>
      <c r="F43" s="4" t="s">
        <v>80</v>
      </c>
      <c r="G43" s="4">
        <v>5</v>
      </c>
      <c r="H43" s="4">
        <v>126.13</v>
      </c>
      <c r="I43" s="4">
        <v>0</v>
      </c>
      <c r="J43" s="4">
        <v>630.65</v>
      </c>
      <c r="K43" s="4">
        <v>272.08999999999997</v>
      </c>
      <c r="L43" s="4" t="s">
        <v>40</v>
      </c>
      <c r="M43" s="4">
        <v>3</v>
      </c>
      <c r="N43" s="4">
        <v>1</v>
      </c>
      <c r="O43" s="4" t="s">
        <v>21</v>
      </c>
    </row>
    <row r="44" spans="1:15">
      <c r="A44" s="6" t="s">
        <v>346</v>
      </c>
      <c r="B44" s="3">
        <v>45913</v>
      </c>
      <c r="C44" s="4" t="s">
        <v>29</v>
      </c>
      <c r="D44" s="4" t="s">
        <v>17</v>
      </c>
      <c r="E44" s="4" t="s">
        <v>31</v>
      </c>
      <c r="F44" s="4" t="s">
        <v>59</v>
      </c>
      <c r="G44" s="4">
        <v>1</v>
      </c>
      <c r="H44" s="4">
        <v>46</v>
      </c>
      <c r="I44" s="4">
        <v>0</v>
      </c>
      <c r="J44" s="4">
        <v>46</v>
      </c>
      <c r="K44" s="4">
        <v>26.96</v>
      </c>
      <c r="L44" s="4" t="s">
        <v>14</v>
      </c>
      <c r="M44" s="4">
        <v>5</v>
      </c>
      <c r="N44" s="4">
        <v>2</v>
      </c>
      <c r="O44" s="4" t="s">
        <v>27</v>
      </c>
    </row>
    <row r="45" spans="1:15">
      <c r="A45" s="6" t="s">
        <v>199</v>
      </c>
      <c r="B45" s="3">
        <v>45787</v>
      </c>
      <c r="C45" s="4" t="s">
        <v>23</v>
      </c>
      <c r="D45" s="4" t="s">
        <v>17</v>
      </c>
      <c r="E45" s="4" t="s">
        <v>31</v>
      </c>
      <c r="F45" s="4" t="s">
        <v>91</v>
      </c>
      <c r="G45" s="4">
        <v>5</v>
      </c>
      <c r="H45" s="4">
        <v>67.209999999999994</v>
      </c>
      <c r="I45" s="4">
        <v>0.1</v>
      </c>
      <c r="J45" s="4">
        <v>302.44</v>
      </c>
      <c r="K45" s="4">
        <v>177.15</v>
      </c>
      <c r="L45" s="4" t="s">
        <v>33</v>
      </c>
      <c r="M45" s="4"/>
      <c r="N45" s="4"/>
      <c r="O45" s="4" t="s">
        <v>21</v>
      </c>
    </row>
    <row r="46" spans="1:15">
      <c r="A46" s="6" t="s">
        <v>65</v>
      </c>
      <c r="B46" s="3">
        <v>45682</v>
      </c>
      <c r="C46" s="4" t="s">
        <v>29</v>
      </c>
      <c r="D46" s="4" t="s">
        <v>30</v>
      </c>
      <c r="E46" s="4" t="s">
        <v>18</v>
      </c>
      <c r="F46" s="4" t="s">
        <v>57</v>
      </c>
      <c r="G46" s="4">
        <v>2</v>
      </c>
      <c r="H46" s="4">
        <v>44.84</v>
      </c>
      <c r="I46" s="4">
        <v>0.15</v>
      </c>
      <c r="J46" s="4">
        <v>76.23</v>
      </c>
      <c r="K46" s="4">
        <v>37.549999999999997</v>
      </c>
      <c r="L46" s="4" t="s">
        <v>33</v>
      </c>
      <c r="M46" s="4"/>
      <c r="N46" s="4"/>
      <c r="O46" s="4" t="s">
        <v>21</v>
      </c>
    </row>
    <row r="47" spans="1:15">
      <c r="A47" s="6" t="s">
        <v>458</v>
      </c>
      <c r="B47" s="3">
        <v>46012</v>
      </c>
      <c r="C47" s="4" t="s">
        <v>16</v>
      </c>
      <c r="D47" s="4" t="s">
        <v>17</v>
      </c>
      <c r="E47" s="4" t="s">
        <v>25</v>
      </c>
      <c r="F47" s="4" t="s">
        <v>63</v>
      </c>
      <c r="G47" s="4">
        <v>1</v>
      </c>
      <c r="H47" s="4">
        <v>49.99</v>
      </c>
      <c r="I47" s="4">
        <v>0</v>
      </c>
      <c r="J47" s="4">
        <v>49.99</v>
      </c>
      <c r="K47" s="4">
        <v>20.100000000000001</v>
      </c>
      <c r="L47" s="4" t="s">
        <v>20</v>
      </c>
      <c r="M47" s="4"/>
      <c r="N47" s="4"/>
      <c r="O47" s="4" t="s">
        <v>21</v>
      </c>
    </row>
    <row r="48" spans="1:15">
      <c r="A48" s="6" t="s">
        <v>235</v>
      </c>
      <c r="B48" s="3">
        <v>45820</v>
      </c>
      <c r="C48" s="4" t="s">
        <v>23</v>
      </c>
      <c r="D48" s="4" t="s">
        <v>17</v>
      </c>
      <c r="E48" s="4" t="s">
        <v>31</v>
      </c>
      <c r="F48" s="4" t="s">
        <v>32</v>
      </c>
      <c r="G48" s="4">
        <v>4</v>
      </c>
      <c r="H48" s="4">
        <v>33.869999999999997</v>
      </c>
      <c r="I48" s="4">
        <v>0</v>
      </c>
      <c r="J48" s="4">
        <v>135.47999999999999</v>
      </c>
      <c r="K48" s="4">
        <v>64.64</v>
      </c>
      <c r="L48" s="4" t="s">
        <v>40</v>
      </c>
      <c r="M48" s="4">
        <v>1</v>
      </c>
      <c r="N48" s="4">
        <v>3</v>
      </c>
      <c r="O48" s="4" t="s">
        <v>21</v>
      </c>
    </row>
    <row r="49" spans="1:15">
      <c r="A49" s="6" t="s">
        <v>423</v>
      </c>
      <c r="B49" s="3">
        <v>45983</v>
      </c>
      <c r="C49" s="4" t="s">
        <v>16</v>
      </c>
      <c r="D49" s="4" t="s">
        <v>24</v>
      </c>
      <c r="E49" s="4" t="s">
        <v>25</v>
      </c>
      <c r="F49" s="4" t="s">
        <v>26</v>
      </c>
      <c r="G49" s="4">
        <v>3</v>
      </c>
      <c r="H49" s="4">
        <v>249.75</v>
      </c>
      <c r="I49" s="4">
        <v>0</v>
      </c>
      <c r="J49" s="4">
        <v>749.25</v>
      </c>
      <c r="K49" s="4">
        <v>398.35</v>
      </c>
      <c r="L49" s="4" t="s">
        <v>40</v>
      </c>
      <c r="M49" s="4">
        <v>8</v>
      </c>
      <c r="N49" s="4">
        <v>3</v>
      </c>
      <c r="O49" s="4" t="s">
        <v>21</v>
      </c>
    </row>
    <row r="50" spans="1:15">
      <c r="A50" s="6" t="s">
        <v>334</v>
      </c>
      <c r="B50" s="3">
        <v>45905</v>
      </c>
      <c r="C50" s="4" t="s">
        <v>38</v>
      </c>
      <c r="D50" s="4" t="s">
        <v>24</v>
      </c>
      <c r="E50" s="4" t="s">
        <v>25</v>
      </c>
      <c r="F50" s="4" t="s">
        <v>89</v>
      </c>
      <c r="G50" s="4">
        <v>5</v>
      </c>
      <c r="H50" s="4">
        <v>120.19</v>
      </c>
      <c r="I50" s="4">
        <v>0.1</v>
      </c>
      <c r="J50" s="4">
        <v>540.86</v>
      </c>
      <c r="K50" s="4">
        <v>271.73</v>
      </c>
      <c r="L50" s="4" t="s">
        <v>40</v>
      </c>
      <c r="M50" s="4">
        <v>7</v>
      </c>
      <c r="N50" s="4">
        <v>5</v>
      </c>
      <c r="O50" s="4" t="s">
        <v>21</v>
      </c>
    </row>
    <row r="51" spans="1:15">
      <c r="A51" s="6" t="s">
        <v>380</v>
      </c>
      <c r="B51" s="3">
        <v>45942</v>
      </c>
      <c r="C51" s="4" t="s">
        <v>16</v>
      </c>
      <c r="D51" s="4" t="s">
        <v>24</v>
      </c>
      <c r="E51" s="4" t="s">
        <v>18</v>
      </c>
      <c r="F51" s="4" t="s">
        <v>19</v>
      </c>
      <c r="G51" s="4">
        <v>5</v>
      </c>
      <c r="H51" s="4">
        <v>164.54</v>
      </c>
      <c r="I51" s="4">
        <v>0.2</v>
      </c>
      <c r="J51" s="4">
        <v>658.16</v>
      </c>
      <c r="K51" s="4">
        <v>376.79</v>
      </c>
      <c r="L51" s="4" t="s">
        <v>33</v>
      </c>
      <c r="M51" s="4"/>
      <c r="N51" s="4"/>
      <c r="O51" s="4" t="s">
        <v>21</v>
      </c>
    </row>
    <row r="52" spans="1:15">
      <c r="A52" s="6" t="s">
        <v>369</v>
      </c>
      <c r="B52" s="3">
        <v>45935</v>
      </c>
      <c r="C52" s="4" t="s">
        <v>23</v>
      </c>
      <c r="D52" s="4" t="s">
        <v>30</v>
      </c>
      <c r="E52" s="4" t="s">
        <v>35</v>
      </c>
      <c r="F52" s="4" t="s">
        <v>39</v>
      </c>
      <c r="G52" s="4">
        <v>1</v>
      </c>
      <c r="H52" s="4">
        <v>79.16</v>
      </c>
      <c r="I52" s="4">
        <v>0</v>
      </c>
      <c r="J52" s="4">
        <v>79.16</v>
      </c>
      <c r="K52" s="4">
        <v>31.95</v>
      </c>
      <c r="L52" s="4" t="s">
        <v>14</v>
      </c>
      <c r="M52" s="4">
        <v>8</v>
      </c>
      <c r="N52" s="4">
        <v>2</v>
      </c>
      <c r="O52" s="4" t="s">
        <v>27</v>
      </c>
    </row>
    <row r="53" spans="1:15">
      <c r="A53" s="6" t="s">
        <v>133</v>
      </c>
      <c r="B53" s="3">
        <v>45729</v>
      </c>
      <c r="C53" s="4" t="s">
        <v>16</v>
      </c>
      <c r="D53" s="4" t="s">
        <v>17</v>
      </c>
      <c r="E53" s="4" t="s">
        <v>25</v>
      </c>
      <c r="F53" s="4" t="s">
        <v>89</v>
      </c>
      <c r="G53" s="4">
        <v>4</v>
      </c>
      <c r="H53" s="4">
        <v>116.65</v>
      </c>
      <c r="I53" s="4">
        <v>0.1</v>
      </c>
      <c r="J53" s="4">
        <v>419.94</v>
      </c>
      <c r="K53" s="4">
        <v>222.13</v>
      </c>
      <c r="L53" s="4" t="s">
        <v>40</v>
      </c>
      <c r="M53" s="4">
        <v>1</v>
      </c>
      <c r="N53" s="4">
        <v>2</v>
      </c>
      <c r="O53" s="4" t="s">
        <v>21</v>
      </c>
    </row>
    <row r="54" spans="1:15">
      <c r="A54" s="6" t="s">
        <v>200</v>
      </c>
      <c r="B54" s="3">
        <v>45790</v>
      </c>
      <c r="C54" s="4" t="s">
        <v>16</v>
      </c>
      <c r="D54" s="4" t="s">
        <v>30</v>
      </c>
      <c r="E54" s="4" t="s">
        <v>46</v>
      </c>
      <c r="F54" s="4" t="s">
        <v>49</v>
      </c>
      <c r="G54" s="4">
        <v>1</v>
      </c>
      <c r="H54" s="4">
        <v>333.65</v>
      </c>
      <c r="I54" s="4">
        <v>0.1</v>
      </c>
      <c r="J54" s="4">
        <v>300.27999999999997</v>
      </c>
      <c r="K54" s="4">
        <v>198.32</v>
      </c>
      <c r="L54" s="4" t="s">
        <v>40</v>
      </c>
      <c r="M54" s="4">
        <v>7</v>
      </c>
      <c r="N54" s="4">
        <v>2</v>
      </c>
      <c r="O54" s="4" t="s">
        <v>21</v>
      </c>
    </row>
    <row r="55" spans="1:15">
      <c r="A55" s="6" t="s">
        <v>250</v>
      </c>
      <c r="B55" s="3">
        <v>45828</v>
      </c>
      <c r="C55" s="4" t="s">
        <v>16</v>
      </c>
      <c r="D55" s="4" t="s">
        <v>17</v>
      </c>
      <c r="E55" s="4" t="s">
        <v>35</v>
      </c>
      <c r="F55" s="4" t="s">
        <v>39</v>
      </c>
      <c r="G55" s="4">
        <v>1</v>
      </c>
      <c r="H55" s="4">
        <v>67.569999999999993</v>
      </c>
      <c r="I55" s="4">
        <v>0.15</v>
      </c>
      <c r="J55" s="4">
        <v>57.43</v>
      </c>
      <c r="K55" s="4">
        <v>32.07</v>
      </c>
      <c r="L55" s="4" t="s">
        <v>33</v>
      </c>
      <c r="M55" s="4"/>
      <c r="N55" s="4"/>
      <c r="O55" s="4" t="s">
        <v>21</v>
      </c>
    </row>
    <row r="56" spans="1:15">
      <c r="A56" s="6" t="s">
        <v>264</v>
      </c>
      <c r="B56" s="3">
        <v>45839</v>
      </c>
      <c r="C56" s="4" t="s">
        <v>38</v>
      </c>
      <c r="D56" s="4" t="s">
        <v>17</v>
      </c>
      <c r="E56" s="4" t="s">
        <v>35</v>
      </c>
      <c r="F56" s="4" t="s">
        <v>36</v>
      </c>
      <c r="G56" s="4">
        <v>5</v>
      </c>
      <c r="H56" s="4">
        <v>37.9</v>
      </c>
      <c r="I56" s="4">
        <v>0.1</v>
      </c>
      <c r="J56" s="4">
        <v>170.55</v>
      </c>
      <c r="K56" s="4">
        <v>73.95</v>
      </c>
      <c r="L56" s="4" t="s">
        <v>40</v>
      </c>
      <c r="M56" s="4">
        <v>3</v>
      </c>
      <c r="N56" s="4">
        <v>4</v>
      </c>
      <c r="O56" s="4" t="s">
        <v>21</v>
      </c>
    </row>
    <row r="57" spans="1:15">
      <c r="A57" s="6" t="s">
        <v>54</v>
      </c>
      <c r="B57" s="3">
        <v>45673</v>
      </c>
      <c r="C57" s="4" t="s">
        <v>16</v>
      </c>
      <c r="D57" s="4" t="s">
        <v>24</v>
      </c>
      <c r="E57" s="4" t="s">
        <v>35</v>
      </c>
      <c r="F57" s="4" t="s">
        <v>55</v>
      </c>
      <c r="G57" s="4">
        <v>1</v>
      </c>
      <c r="H57" s="4">
        <v>51.56</v>
      </c>
      <c r="I57" s="4">
        <v>0.15</v>
      </c>
      <c r="J57" s="4">
        <v>43.83</v>
      </c>
      <c r="K57" s="4">
        <v>20.54</v>
      </c>
      <c r="L57" s="4" t="s">
        <v>40</v>
      </c>
      <c r="M57" s="4">
        <v>4</v>
      </c>
      <c r="N57" s="4">
        <v>5</v>
      </c>
      <c r="O57" s="4" t="s">
        <v>21</v>
      </c>
    </row>
    <row r="58" spans="1:15">
      <c r="A58" s="6" t="s">
        <v>283</v>
      </c>
      <c r="B58" s="3">
        <v>45857</v>
      </c>
      <c r="C58" s="4" t="s">
        <v>29</v>
      </c>
      <c r="D58" s="4" t="s">
        <v>24</v>
      </c>
      <c r="E58" s="4" t="s">
        <v>31</v>
      </c>
      <c r="F58" s="4" t="s">
        <v>32</v>
      </c>
      <c r="G58" s="4">
        <v>2</v>
      </c>
      <c r="H58" s="4">
        <v>32.46</v>
      </c>
      <c r="I58" s="4">
        <v>0.05</v>
      </c>
      <c r="J58" s="4">
        <v>61.67</v>
      </c>
      <c r="K58" s="4">
        <v>34.409999999999997</v>
      </c>
      <c r="L58" s="4" t="s">
        <v>40</v>
      </c>
      <c r="M58" s="4">
        <v>8</v>
      </c>
      <c r="N58" s="4">
        <v>1</v>
      </c>
      <c r="O58" s="4" t="s">
        <v>21</v>
      </c>
    </row>
    <row r="59" spans="1:15">
      <c r="A59" s="6" t="s">
        <v>115</v>
      </c>
      <c r="B59" s="3">
        <v>45714</v>
      </c>
      <c r="C59" s="4" t="s">
        <v>29</v>
      </c>
      <c r="D59" s="4" t="s">
        <v>17</v>
      </c>
      <c r="E59" s="4" t="s">
        <v>31</v>
      </c>
      <c r="F59" s="4" t="s">
        <v>32</v>
      </c>
      <c r="G59" s="4">
        <v>2</v>
      </c>
      <c r="H59" s="4">
        <v>34.06</v>
      </c>
      <c r="I59" s="4">
        <v>0</v>
      </c>
      <c r="J59" s="4">
        <v>68.12</v>
      </c>
      <c r="K59" s="4">
        <v>31.65</v>
      </c>
      <c r="L59" s="4" t="s">
        <v>40</v>
      </c>
      <c r="M59" s="4">
        <v>3</v>
      </c>
      <c r="N59" s="4">
        <v>3</v>
      </c>
      <c r="O59" s="4" t="s">
        <v>21</v>
      </c>
    </row>
    <row r="60" spans="1:15">
      <c r="A60" s="6" t="s">
        <v>362</v>
      </c>
      <c r="B60" s="3">
        <v>45929</v>
      </c>
      <c r="C60" s="4" t="s">
        <v>38</v>
      </c>
      <c r="D60" s="4" t="s">
        <v>30</v>
      </c>
      <c r="E60" s="4" t="s">
        <v>25</v>
      </c>
      <c r="F60" s="4" t="s">
        <v>63</v>
      </c>
      <c r="G60" s="4">
        <v>2</v>
      </c>
      <c r="H60" s="4">
        <v>54.59</v>
      </c>
      <c r="I60" s="4">
        <v>0.05</v>
      </c>
      <c r="J60" s="4">
        <v>103.72</v>
      </c>
      <c r="K60" s="4">
        <v>41.61</v>
      </c>
      <c r="L60" s="4" t="s">
        <v>40</v>
      </c>
      <c r="M60" s="4">
        <v>5</v>
      </c>
      <c r="N60" s="4">
        <v>2</v>
      </c>
      <c r="O60" s="4" t="s">
        <v>21</v>
      </c>
    </row>
    <row r="61" spans="1:15">
      <c r="A61" s="6" t="s">
        <v>338</v>
      </c>
      <c r="B61" s="3">
        <v>45907</v>
      </c>
      <c r="C61" s="4" t="s">
        <v>71</v>
      </c>
      <c r="D61" s="4" t="s">
        <v>17</v>
      </c>
      <c r="E61" s="4" t="s">
        <v>35</v>
      </c>
      <c r="F61" s="4" t="s">
        <v>39</v>
      </c>
      <c r="G61" s="4">
        <v>5</v>
      </c>
      <c r="H61" s="4">
        <v>78.63</v>
      </c>
      <c r="I61" s="4">
        <v>0.05</v>
      </c>
      <c r="J61" s="4">
        <v>373.49</v>
      </c>
      <c r="K61" s="4">
        <v>162.32</v>
      </c>
      <c r="L61" s="4" t="s">
        <v>14</v>
      </c>
      <c r="M61" s="4">
        <v>7</v>
      </c>
      <c r="N61" s="4">
        <v>2</v>
      </c>
      <c r="O61" s="4" t="s">
        <v>27</v>
      </c>
    </row>
    <row r="62" spans="1:15">
      <c r="A62" s="6" t="s">
        <v>436</v>
      </c>
      <c r="B62" s="3">
        <v>45994</v>
      </c>
      <c r="C62" s="4" t="s">
        <v>38</v>
      </c>
      <c r="D62" s="4" t="s">
        <v>17</v>
      </c>
      <c r="E62" s="4" t="s">
        <v>35</v>
      </c>
      <c r="F62" s="4" t="s">
        <v>39</v>
      </c>
      <c r="G62" s="4">
        <v>1</v>
      </c>
      <c r="H62" s="4">
        <v>71.75</v>
      </c>
      <c r="I62" s="4">
        <v>0.15</v>
      </c>
      <c r="J62" s="4">
        <v>60.99</v>
      </c>
      <c r="K62" s="4">
        <v>32.31</v>
      </c>
      <c r="L62" s="4" t="s">
        <v>40</v>
      </c>
      <c r="M62" s="4">
        <v>7</v>
      </c>
      <c r="N62" s="4">
        <v>5</v>
      </c>
      <c r="O62" s="4" t="s">
        <v>21</v>
      </c>
    </row>
    <row r="63" spans="1:15">
      <c r="A63" s="6" t="s">
        <v>361</v>
      </c>
      <c r="B63" s="3">
        <v>45929</v>
      </c>
      <c r="C63" s="4" t="s">
        <v>29</v>
      </c>
      <c r="D63" s="4" t="s">
        <v>24</v>
      </c>
      <c r="E63" s="4" t="s">
        <v>31</v>
      </c>
      <c r="F63" s="4" t="s">
        <v>32</v>
      </c>
      <c r="G63" s="4">
        <v>3</v>
      </c>
      <c r="H63" s="4">
        <v>37.82</v>
      </c>
      <c r="I63" s="4">
        <v>0.15</v>
      </c>
      <c r="J63" s="4">
        <v>96.44</v>
      </c>
      <c r="K63" s="4">
        <v>53.35</v>
      </c>
      <c r="L63" s="4" t="s">
        <v>33</v>
      </c>
      <c r="M63" s="4"/>
      <c r="N63" s="4"/>
      <c r="O63" s="4" t="s">
        <v>21</v>
      </c>
    </row>
    <row r="64" spans="1:15">
      <c r="A64" s="6" t="s">
        <v>203</v>
      </c>
      <c r="B64" s="3">
        <v>45791</v>
      </c>
      <c r="C64" s="4" t="s">
        <v>29</v>
      </c>
      <c r="D64" s="4" t="s">
        <v>17</v>
      </c>
      <c r="E64" s="4" t="s">
        <v>46</v>
      </c>
      <c r="F64" s="4" t="s">
        <v>49</v>
      </c>
      <c r="G64" s="4">
        <v>4</v>
      </c>
      <c r="H64" s="4">
        <v>320.81</v>
      </c>
      <c r="I64" s="4">
        <v>0.2</v>
      </c>
      <c r="J64" s="4">
        <v>1026.5899999999999</v>
      </c>
      <c r="K64" s="4">
        <v>751.85</v>
      </c>
      <c r="L64" s="4" t="s">
        <v>40</v>
      </c>
      <c r="M64" s="4">
        <v>1</v>
      </c>
      <c r="N64" s="4">
        <v>2</v>
      </c>
      <c r="O64" s="4" t="s">
        <v>21</v>
      </c>
    </row>
    <row r="65" spans="1:15">
      <c r="A65" s="6" t="s">
        <v>454</v>
      </c>
      <c r="B65" s="3">
        <v>46011</v>
      </c>
      <c r="C65" s="4" t="s">
        <v>16</v>
      </c>
      <c r="D65" s="4" t="s">
        <v>17</v>
      </c>
      <c r="E65" s="4" t="s">
        <v>35</v>
      </c>
      <c r="F65" s="4" t="s">
        <v>39</v>
      </c>
      <c r="G65" s="4">
        <v>3</v>
      </c>
      <c r="H65" s="4">
        <v>75.239999999999995</v>
      </c>
      <c r="I65" s="4">
        <v>0.05</v>
      </c>
      <c r="J65" s="4">
        <v>214.43</v>
      </c>
      <c r="K65" s="4">
        <v>93.12</v>
      </c>
      <c r="L65" s="4" t="s">
        <v>40</v>
      </c>
      <c r="M65" s="4">
        <v>6</v>
      </c>
      <c r="N65" s="4">
        <v>2</v>
      </c>
      <c r="O65" s="4" t="s">
        <v>21</v>
      </c>
    </row>
    <row r="66" spans="1:15">
      <c r="A66" s="6" t="s">
        <v>216</v>
      </c>
      <c r="B66" s="3">
        <v>45807</v>
      </c>
      <c r="C66" s="4" t="s">
        <v>29</v>
      </c>
      <c r="D66" s="4" t="s">
        <v>17</v>
      </c>
      <c r="E66" s="4" t="s">
        <v>46</v>
      </c>
      <c r="F66" s="4" t="s">
        <v>68</v>
      </c>
      <c r="G66" s="4">
        <v>4</v>
      </c>
      <c r="H66" s="4">
        <v>91.24</v>
      </c>
      <c r="I66" s="4">
        <v>0</v>
      </c>
      <c r="J66" s="4">
        <v>364.96</v>
      </c>
      <c r="K66" s="4">
        <v>188.75</v>
      </c>
      <c r="L66" s="4" t="s">
        <v>40</v>
      </c>
      <c r="M66" s="4">
        <v>4</v>
      </c>
      <c r="N66" s="4">
        <v>3</v>
      </c>
      <c r="O66" s="4" t="s">
        <v>21</v>
      </c>
    </row>
    <row r="67" spans="1:15">
      <c r="A67" s="6" t="s">
        <v>189</v>
      </c>
      <c r="B67" s="3">
        <v>45776</v>
      </c>
      <c r="C67" s="4" t="s">
        <v>16</v>
      </c>
      <c r="D67" s="4" t="s">
        <v>30</v>
      </c>
      <c r="E67" s="4" t="s">
        <v>46</v>
      </c>
      <c r="F67" s="4" t="s">
        <v>68</v>
      </c>
      <c r="G67" s="4">
        <v>1</v>
      </c>
      <c r="H67" s="4">
        <v>91.83</v>
      </c>
      <c r="I67" s="4">
        <v>0.05</v>
      </c>
      <c r="J67" s="4">
        <v>87.24</v>
      </c>
      <c r="K67" s="4">
        <v>47.47</v>
      </c>
      <c r="L67" s="4" t="s">
        <v>40</v>
      </c>
      <c r="M67" s="4">
        <v>5</v>
      </c>
      <c r="N67" s="4">
        <v>2</v>
      </c>
      <c r="O67" s="4" t="s">
        <v>21</v>
      </c>
    </row>
    <row r="68" spans="1:15">
      <c r="A68" s="6" t="s">
        <v>431</v>
      </c>
      <c r="B68" s="3">
        <v>45988</v>
      </c>
      <c r="C68" s="4" t="s">
        <v>23</v>
      </c>
      <c r="D68" s="4" t="s">
        <v>17</v>
      </c>
      <c r="E68" s="4" t="s">
        <v>35</v>
      </c>
      <c r="F68" s="4" t="s">
        <v>55</v>
      </c>
      <c r="G68" s="4">
        <v>2</v>
      </c>
      <c r="H68" s="4">
        <v>57.02</v>
      </c>
      <c r="I68" s="4">
        <v>0.05</v>
      </c>
      <c r="J68" s="4">
        <v>108.34</v>
      </c>
      <c r="K68" s="4">
        <v>42.09</v>
      </c>
      <c r="L68" s="4" t="s">
        <v>20</v>
      </c>
      <c r="M68" s="4"/>
      <c r="N68" s="4"/>
      <c r="O68" s="4" t="s">
        <v>21</v>
      </c>
    </row>
    <row r="69" spans="1:15">
      <c r="A69" s="6" t="s">
        <v>208</v>
      </c>
      <c r="B69" s="3">
        <v>45793</v>
      </c>
      <c r="C69" s="4" t="s">
        <v>71</v>
      </c>
      <c r="D69" s="4" t="s">
        <v>17</v>
      </c>
      <c r="E69" s="4" t="s">
        <v>18</v>
      </c>
      <c r="F69" s="4" t="s">
        <v>80</v>
      </c>
      <c r="G69" s="4">
        <v>5</v>
      </c>
      <c r="H69" s="4">
        <v>109.14</v>
      </c>
      <c r="I69" s="4">
        <v>0</v>
      </c>
      <c r="J69" s="4">
        <v>545.70000000000005</v>
      </c>
      <c r="K69" s="4">
        <v>259.08</v>
      </c>
      <c r="L69" s="4" t="s">
        <v>33</v>
      </c>
      <c r="M69" s="4"/>
      <c r="N69" s="4"/>
      <c r="O69" s="4" t="s">
        <v>21</v>
      </c>
    </row>
    <row r="70" spans="1:15">
      <c r="A70" s="6" t="s">
        <v>67</v>
      </c>
      <c r="B70" s="3">
        <v>45685</v>
      </c>
      <c r="C70" s="4" t="s">
        <v>23</v>
      </c>
      <c r="D70" s="4" t="s">
        <v>30</v>
      </c>
      <c r="E70" s="4" t="s">
        <v>46</v>
      </c>
      <c r="F70" s="4" t="s">
        <v>68</v>
      </c>
      <c r="G70" s="4">
        <v>1</v>
      </c>
      <c r="H70" s="4">
        <v>97.28</v>
      </c>
      <c r="I70" s="4">
        <v>0</v>
      </c>
      <c r="J70" s="4">
        <v>97.28</v>
      </c>
      <c r="K70" s="4">
        <v>46.02</v>
      </c>
      <c r="L70" s="4" t="s">
        <v>40</v>
      </c>
      <c r="M70" s="4">
        <v>5</v>
      </c>
      <c r="N70" s="4">
        <v>3</v>
      </c>
      <c r="O70" s="4" t="s">
        <v>21</v>
      </c>
    </row>
    <row r="71" spans="1:15">
      <c r="A71" s="6" t="s">
        <v>252</v>
      </c>
      <c r="B71" s="3">
        <v>45829</v>
      </c>
      <c r="C71" s="4" t="s">
        <v>16</v>
      </c>
      <c r="D71" s="4" t="s">
        <v>30</v>
      </c>
      <c r="E71" s="4" t="s">
        <v>31</v>
      </c>
      <c r="F71" s="4" t="s">
        <v>91</v>
      </c>
      <c r="G71" s="4">
        <v>3</v>
      </c>
      <c r="H71" s="4">
        <v>68.55</v>
      </c>
      <c r="I71" s="4">
        <v>0</v>
      </c>
      <c r="J71" s="4">
        <v>205.65</v>
      </c>
      <c r="K71" s="4">
        <v>107.8</v>
      </c>
      <c r="L71" s="4" t="s">
        <v>33</v>
      </c>
      <c r="M71" s="4"/>
      <c r="N71" s="4"/>
      <c r="O71" s="4" t="s">
        <v>21</v>
      </c>
    </row>
    <row r="72" spans="1:15">
      <c r="A72" s="6" t="s">
        <v>391</v>
      </c>
      <c r="B72" s="3">
        <v>45948</v>
      </c>
      <c r="C72" s="4" t="s">
        <v>38</v>
      </c>
      <c r="D72" s="4" t="s">
        <v>24</v>
      </c>
      <c r="E72" s="4" t="s">
        <v>18</v>
      </c>
      <c r="F72" s="4" t="s">
        <v>57</v>
      </c>
      <c r="G72" s="4">
        <v>4</v>
      </c>
      <c r="H72" s="4">
        <v>43.75</v>
      </c>
      <c r="I72" s="4">
        <v>0.2</v>
      </c>
      <c r="J72" s="4">
        <v>140</v>
      </c>
      <c r="K72" s="4">
        <v>75.61</v>
      </c>
      <c r="L72" s="4" t="s">
        <v>40</v>
      </c>
      <c r="M72" s="4">
        <v>3</v>
      </c>
      <c r="N72" s="4">
        <v>2</v>
      </c>
      <c r="O72" s="4" t="s">
        <v>21</v>
      </c>
    </row>
    <row r="73" spans="1:15">
      <c r="A73" s="6" t="s">
        <v>132</v>
      </c>
      <c r="B73" s="3">
        <v>45727</v>
      </c>
      <c r="C73" s="4" t="s">
        <v>38</v>
      </c>
      <c r="D73" s="4" t="s">
        <v>17</v>
      </c>
      <c r="E73" s="4" t="s">
        <v>35</v>
      </c>
      <c r="F73" s="4" t="s">
        <v>39</v>
      </c>
      <c r="G73" s="4">
        <v>4</v>
      </c>
      <c r="H73" s="4">
        <v>67.95</v>
      </c>
      <c r="I73" s="4">
        <v>0</v>
      </c>
      <c r="J73" s="4">
        <v>271.8</v>
      </c>
      <c r="K73" s="4">
        <v>124.86</v>
      </c>
      <c r="L73" s="4" t="s">
        <v>40</v>
      </c>
      <c r="M73" s="4">
        <v>6</v>
      </c>
      <c r="N73" s="4">
        <v>4</v>
      </c>
      <c r="O73" s="4" t="s">
        <v>21</v>
      </c>
    </row>
    <row r="74" spans="1:15">
      <c r="A74" s="6" t="s">
        <v>247</v>
      </c>
      <c r="B74" s="3">
        <v>45826</v>
      </c>
      <c r="C74" s="4" t="s">
        <v>29</v>
      </c>
      <c r="D74" s="4" t="s">
        <v>24</v>
      </c>
      <c r="E74" s="4" t="s">
        <v>25</v>
      </c>
      <c r="F74" s="4" t="s">
        <v>26</v>
      </c>
      <c r="G74" s="4">
        <v>4</v>
      </c>
      <c r="H74" s="4">
        <v>258.72000000000003</v>
      </c>
      <c r="I74" s="4">
        <v>0</v>
      </c>
      <c r="J74" s="4">
        <v>1034.8800000000001</v>
      </c>
      <c r="K74" s="4">
        <v>527.80999999999995</v>
      </c>
      <c r="L74" s="4" t="s">
        <v>40</v>
      </c>
      <c r="M74" s="4">
        <v>2</v>
      </c>
      <c r="N74" s="4">
        <v>1</v>
      </c>
      <c r="O74" s="4" t="s">
        <v>21</v>
      </c>
    </row>
    <row r="75" spans="1:15">
      <c r="A75" s="6" t="s">
        <v>102</v>
      </c>
      <c r="B75" s="3">
        <v>45705</v>
      </c>
      <c r="C75" s="4" t="s">
        <v>16</v>
      </c>
      <c r="D75" s="4" t="s">
        <v>17</v>
      </c>
      <c r="E75" s="4" t="s">
        <v>18</v>
      </c>
      <c r="F75" s="4" t="s">
        <v>80</v>
      </c>
      <c r="G75" s="4">
        <v>1</v>
      </c>
      <c r="H75" s="4">
        <v>108.4</v>
      </c>
      <c r="I75" s="4">
        <v>0</v>
      </c>
      <c r="J75" s="4">
        <v>108.4</v>
      </c>
      <c r="K75" s="4">
        <v>59.34</v>
      </c>
      <c r="L75" s="4" t="s">
        <v>14</v>
      </c>
      <c r="M75" s="4">
        <v>5</v>
      </c>
      <c r="N75" s="4">
        <v>5</v>
      </c>
      <c r="O75" s="4" t="s">
        <v>27</v>
      </c>
    </row>
    <row r="76" spans="1:15">
      <c r="A76" s="6" t="s">
        <v>340</v>
      </c>
      <c r="B76" s="3">
        <v>45908</v>
      </c>
      <c r="C76" s="4" t="s">
        <v>16</v>
      </c>
      <c r="D76" s="4" t="s">
        <v>24</v>
      </c>
      <c r="E76" s="4" t="s">
        <v>31</v>
      </c>
      <c r="F76" s="4" t="s">
        <v>32</v>
      </c>
      <c r="G76" s="4">
        <v>3</v>
      </c>
      <c r="H76" s="4">
        <v>33.409999999999997</v>
      </c>
      <c r="I76" s="4">
        <v>0.1</v>
      </c>
      <c r="J76" s="4">
        <v>90.21</v>
      </c>
      <c r="K76" s="4">
        <v>47.33</v>
      </c>
      <c r="L76" s="4" t="s">
        <v>40</v>
      </c>
      <c r="M76" s="4">
        <v>5</v>
      </c>
      <c r="N76" s="4">
        <v>5</v>
      </c>
      <c r="O76" s="4" t="s">
        <v>21</v>
      </c>
    </row>
    <row r="77" spans="1:15">
      <c r="A77" s="6" t="s">
        <v>256</v>
      </c>
      <c r="B77" s="3">
        <v>45831</v>
      </c>
      <c r="C77" s="4" t="s">
        <v>29</v>
      </c>
      <c r="D77" s="4" t="s">
        <v>24</v>
      </c>
      <c r="E77" s="4" t="s">
        <v>46</v>
      </c>
      <c r="F77" s="4" t="s">
        <v>68</v>
      </c>
      <c r="G77" s="4">
        <v>1</v>
      </c>
      <c r="H77" s="4">
        <v>102.1</v>
      </c>
      <c r="I77" s="4">
        <v>0</v>
      </c>
      <c r="J77" s="4">
        <v>102.1</v>
      </c>
      <c r="K77" s="4">
        <v>46.11</v>
      </c>
      <c r="L77" s="4" t="s">
        <v>33</v>
      </c>
      <c r="M77" s="4"/>
      <c r="N77" s="4"/>
      <c r="O77" s="4" t="s">
        <v>21</v>
      </c>
    </row>
    <row r="78" spans="1:15">
      <c r="A78" s="6" t="s">
        <v>190</v>
      </c>
      <c r="B78" s="3">
        <v>45778</v>
      </c>
      <c r="C78" s="4" t="s">
        <v>38</v>
      </c>
      <c r="D78" s="4" t="s">
        <v>24</v>
      </c>
      <c r="E78" s="4" t="s">
        <v>35</v>
      </c>
      <c r="F78" s="4" t="s">
        <v>36</v>
      </c>
      <c r="G78" s="4">
        <v>4</v>
      </c>
      <c r="H78" s="4">
        <v>40.54</v>
      </c>
      <c r="I78" s="4">
        <v>0.1</v>
      </c>
      <c r="J78" s="4">
        <v>145.94</v>
      </c>
      <c r="K78" s="4">
        <v>58.32</v>
      </c>
      <c r="L78" s="4" t="s">
        <v>20</v>
      </c>
      <c r="M78" s="4"/>
      <c r="N78" s="4"/>
      <c r="O78" s="4" t="s">
        <v>21</v>
      </c>
    </row>
    <row r="79" spans="1:15">
      <c r="A79" s="6" t="s">
        <v>142</v>
      </c>
      <c r="B79" s="3">
        <v>45740</v>
      </c>
      <c r="C79" s="4" t="s">
        <v>23</v>
      </c>
      <c r="D79" s="4" t="s">
        <v>17</v>
      </c>
      <c r="E79" s="4" t="s">
        <v>46</v>
      </c>
      <c r="F79" s="4" t="s">
        <v>68</v>
      </c>
      <c r="G79" s="4">
        <v>1</v>
      </c>
      <c r="H79" s="4">
        <v>93.25</v>
      </c>
      <c r="I79" s="4">
        <v>0.05</v>
      </c>
      <c r="J79" s="4">
        <v>88.59</v>
      </c>
      <c r="K79" s="4">
        <v>44.88</v>
      </c>
      <c r="L79" s="4" t="s">
        <v>20</v>
      </c>
      <c r="M79" s="4"/>
      <c r="N79" s="4"/>
      <c r="O79" s="4" t="s">
        <v>21</v>
      </c>
    </row>
    <row r="80" spans="1:15">
      <c r="A80" s="6" t="s">
        <v>294</v>
      </c>
      <c r="B80" s="3">
        <v>45864</v>
      </c>
      <c r="C80" s="4" t="s">
        <v>16</v>
      </c>
      <c r="D80" s="4" t="s">
        <v>17</v>
      </c>
      <c r="E80" s="4" t="s">
        <v>25</v>
      </c>
      <c r="F80" s="4" t="s">
        <v>89</v>
      </c>
      <c r="G80" s="4">
        <v>1</v>
      </c>
      <c r="H80" s="4">
        <v>102.93</v>
      </c>
      <c r="I80" s="4">
        <v>0.2</v>
      </c>
      <c r="J80" s="4">
        <v>82.34</v>
      </c>
      <c r="K80" s="4">
        <v>49.5</v>
      </c>
      <c r="L80" s="4" t="s">
        <v>14</v>
      </c>
      <c r="M80" s="4">
        <v>7</v>
      </c>
      <c r="N80" s="4">
        <v>2</v>
      </c>
      <c r="O80" s="4" t="s">
        <v>27</v>
      </c>
    </row>
    <row r="81" spans="1:15">
      <c r="A81" s="6" t="s">
        <v>332</v>
      </c>
      <c r="B81" s="3">
        <v>45902</v>
      </c>
      <c r="C81" s="4" t="s">
        <v>23</v>
      </c>
      <c r="D81" s="4" t="s">
        <v>30</v>
      </c>
      <c r="E81" s="4" t="s">
        <v>25</v>
      </c>
      <c r="F81" s="4" t="s">
        <v>89</v>
      </c>
      <c r="G81" s="4">
        <v>4</v>
      </c>
      <c r="H81" s="4">
        <v>110.37</v>
      </c>
      <c r="I81" s="4">
        <v>0.05</v>
      </c>
      <c r="J81" s="4">
        <v>419.41</v>
      </c>
      <c r="K81" s="4">
        <v>216.04</v>
      </c>
      <c r="L81" s="4" t="s">
        <v>14</v>
      </c>
      <c r="M81" s="4">
        <v>8</v>
      </c>
      <c r="N81" s="4">
        <v>3</v>
      </c>
      <c r="O81" s="4" t="s">
        <v>27</v>
      </c>
    </row>
    <row r="82" spans="1:15">
      <c r="A82" s="6" t="s">
        <v>445</v>
      </c>
      <c r="B82" s="3">
        <v>46001</v>
      </c>
      <c r="C82" s="4" t="s">
        <v>16</v>
      </c>
      <c r="D82" s="4" t="s">
        <v>17</v>
      </c>
      <c r="E82" s="4" t="s">
        <v>46</v>
      </c>
      <c r="F82" s="4" t="s">
        <v>68</v>
      </c>
      <c r="G82" s="4">
        <v>5</v>
      </c>
      <c r="H82" s="4">
        <v>100.66</v>
      </c>
      <c r="I82" s="4">
        <v>0.15</v>
      </c>
      <c r="J82" s="4">
        <v>427.8</v>
      </c>
      <c r="K82" s="4">
        <v>224.63</v>
      </c>
      <c r="L82" s="4" t="s">
        <v>40</v>
      </c>
      <c r="M82" s="4">
        <v>2</v>
      </c>
      <c r="N82" s="4">
        <v>2</v>
      </c>
      <c r="O82" s="4" t="s">
        <v>21</v>
      </c>
    </row>
    <row r="83" spans="1:15">
      <c r="A83" s="6" t="s">
        <v>228</v>
      </c>
      <c r="B83" s="3">
        <v>45817</v>
      </c>
      <c r="C83" s="4" t="s">
        <v>71</v>
      </c>
      <c r="D83" s="4" t="s">
        <v>24</v>
      </c>
      <c r="E83" s="4" t="s">
        <v>35</v>
      </c>
      <c r="F83" s="4" t="s">
        <v>36</v>
      </c>
      <c r="G83" s="4">
        <v>5</v>
      </c>
      <c r="H83" s="4">
        <v>39.159999999999997</v>
      </c>
      <c r="I83" s="4">
        <v>0.15</v>
      </c>
      <c r="J83" s="4">
        <v>166.43</v>
      </c>
      <c r="K83" s="4">
        <v>67.97</v>
      </c>
      <c r="L83" s="4" t="s">
        <v>20</v>
      </c>
      <c r="M83" s="4"/>
      <c r="N83" s="4"/>
      <c r="O83" s="4" t="s">
        <v>21</v>
      </c>
    </row>
    <row r="84" spans="1:15">
      <c r="A84" s="6" t="s">
        <v>116</v>
      </c>
      <c r="B84" s="3">
        <v>45716</v>
      </c>
      <c r="C84" s="4" t="s">
        <v>23</v>
      </c>
      <c r="D84" s="4" t="s">
        <v>17</v>
      </c>
      <c r="E84" s="4" t="s">
        <v>35</v>
      </c>
      <c r="F84" s="4" t="s">
        <v>39</v>
      </c>
      <c r="G84" s="4">
        <v>4</v>
      </c>
      <c r="H84" s="4">
        <v>74.510000000000005</v>
      </c>
      <c r="I84" s="4">
        <v>0.15</v>
      </c>
      <c r="J84" s="4">
        <v>253.33</v>
      </c>
      <c r="K84" s="4">
        <v>121.79</v>
      </c>
      <c r="L84" s="4" t="s">
        <v>40</v>
      </c>
      <c r="M84" s="4">
        <v>4</v>
      </c>
      <c r="N84" s="4">
        <v>2</v>
      </c>
      <c r="O84" s="4" t="s">
        <v>21</v>
      </c>
    </row>
    <row r="85" spans="1:15">
      <c r="A85" s="6" t="s">
        <v>407</v>
      </c>
      <c r="B85" s="3">
        <v>45961</v>
      </c>
      <c r="C85" s="4" t="s">
        <v>29</v>
      </c>
      <c r="D85" s="4" t="s">
        <v>30</v>
      </c>
      <c r="E85" s="4" t="s">
        <v>25</v>
      </c>
      <c r="F85" s="4" t="s">
        <v>26</v>
      </c>
      <c r="G85" s="4">
        <v>1</v>
      </c>
      <c r="H85" s="4">
        <v>227.69</v>
      </c>
      <c r="I85" s="4">
        <v>0.2</v>
      </c>
      <c r="J85" s="4">
        <v>182.15</v>
      </c>
      <c r="K85" s="4">
        <v>121.66</v>
      </c>
      <c r="L85" s="4" t="s">
        <v>40</v>
      </c>
      <c r="M85" s="4">
        <v>3</v>
      </c>
      <c r="N85" s="4">
        <v>2</v>
      </c>
      <c r="O85" s="4" t="s">
        <v>21</v>
      </c>
    </row>
    <row r="86" spans="1:15">
      <c r="A86" s="6" t="s">
        <v>312</v>
      </c>
      <c r="B86" s="3">
        <v>45887</v>
      </c>
      <c r="C86" s="4" t="s">
        <v>16</v>
      </c>
      <c r="D86" s="4" t="s">
        <v>30</v>
      </c>
      <c r="E86" s="4" t="s">
        <v>46</v>
      </c>
      <c r="F86" s="4" t="s">
        <v>68</v>
      </c>
      <c r="G86" s="4">
        <v>1</v>
      </c>
      <c r="H86" s="4">
        <v>94.4</v>
      </c>
      <c r="I86" s="4">
        <v>0.05</v>
      </c>
      <c r="J86" s="4">
        <v>89.68</v>
      </c>
      <c r="K86" s="4">
        <v>46.15</v>
      </c>
      <c r="L86" s="4" t="s">
        <v>40</v>
      </c>
      <c r="M86" s="4">
        <v>1</v>
      </c>
      <c r="N86" s="4">
        <v>2</v>
      </c>
      <c r="O86" s="4" t="s">
        <v>21</v>
      </c>
    </row>
    <row r="87" spans="1:15">
      <c r="A87" s="6" t="s">
        <v>345</v>
      </c>
      <c r="B87" s="3">
        <v>45913</v>
      </c>
      <c r="C87" s="4" t="s">
        <v>23</v>
      </c>
      <c r="D87" s="4" t="s">
        <v>30</v>
      </c>
      <c r="E87" s="4" t="s">
        <v>18</v>
      </c>
      <c r="F87" s="4" t="s">
        <v>19</v>
      </c>
      <c r="G87" s="4">
        <v>5</v>
      </c>
      <c r="H87" s="4">
        <v>143.84</v>
      </c>
      <c r="I87" s="4">
        <v>0</v>
      </c>
      <c r="J87" s="4">
        <v>719.2</v>
      </c>
      <c r="K87" s="4">
        <v>406.52</v>
      </c>
      <c r="L87" s="4" t="s">
        <v>40</v>
      </c>
      <c r="M87" s="4">
        <v>1</v>
      </c>
      <c r="N87" s="4">
        <v>5</v>
      </c>
      <c r="O87" s="4" t="s">
        <v>21</v>
      </c>
    </row>
    <row r="88" spans="1:15">
      <c r="A88" s="6" t="s">
        <v>86</v>
      </c>
      <c r="B88" s="3">
        <v>45693</v>
      </c>
      <c r="C88" s="4" t="s">
        <v>38</v>
      </c>
      <c r="D88" s="4" t="s">
        <v>30</v>
      </c>
      <c r="E88" s="4" t="s">
        <v>31</v>
      </c>
      <c r="F88" s="4" t="s">
        <v>32</v>
      </c>
      <c r="G88" s="4">
        <v>5</v>
      </c>
      <c r="H88" s="4">
        <v>32.46</v>
      </c>
      <c r="I88" s="4">
        <v>0</v>
      </c>
      <c r="J88" s="4">
        <v>162.30000000000001</v>
      </c>
      <c r="K88" s="4">
        <v>82.34</v>
      </c>
      <c r="L88" s="4" t="s">
        <v>40</v>
      </c>
      <c r="M88" s="4">
        <v>5</v>
      </c>
      <c r="N88" s="4">
        <v>4</v>
      </c>
      <c r="O88" s="4" t="s">
        <v>21</v>
      </c>
    </row>
    <row r="89" spans="1:15">
      <c r="A89" s="6" t="s">
        <v>182</v>
      </c>
      <c r="B89" s="3">
        <v>45772</v>
      </c>
      <c r="C89" s="4" t="s">
        <v>29</v>
      </c>
      <c r="D89" s="4" t="s">
        <v>24</v>
      </c>
      <c r="E89" s="4" t="s">
        <v>18</v>
      </c>
      <c r="F89" s="4" t="s">
        <v>19</v>
      </c>
      <c r="G89" s="4">
        <v>3</v>
      </c>
      <c r="H89" s="4">
        <v>139.81</v>
      </c>
      <c r="I89" s="4">
        <v>0</v>
      </c>
      <c r="J89" s="4">
        <v>419.43</v>
      </c>
      <c r="K89" s="4">
        <v>247.18</v>
      </c>
      <c r="L89" s="4" t="s">
        <v>40</v>
      </c>
      <c r="M89" s="4">
        <v>6</v>
      </c>
      <c r="N89" s="4">
        <v>2</v>
      </c>
      <c r="O89" s="4" t="s">
        <v>21</v>
      </c>
    </row>
    <row r="90" spans="1:15">
      <c r="A90" s="6" t="s">
        <v>374</v>
      </c>
      <c r="B90" s="3">
        <v>45938</v>
      </c>
      <c r="C90" s="4" t="s">
        <v>29</v>
      </c>
      <c r="D90" s="4" t="s">
        <v>30</v>
      </c>
      <c r="E90" s="4" t="s">
        <v>35</v>
      </c>
      <c r="F90" s="4" t="s">
        <v>36</v>
      </c>
      <c r="G90" s="4">
        <v>3</v>
      </c>
      <c r="H90" s="4">
        <v>42.18</v>
      </c>
      <c r="I90" s="4">
        <v>0.1</v>
      </c>
      <c r="J90" s="4">
        <v>113.89</v>
      </c>
      <c r="K90" s="4">
        <v>40.03</v>
      </c>
      <c r="L90" s="4" t="s">
        <v>33</v>
      </c>
      <c r="M90" s="4"/>
      <c r="N90" s="4"/>
      <c r="O90" s="4" t="s">
        <v>21</v>
      </c>
    </row>
    <row r="91" spans="1:15">
      <c r="A91" s="6" t="s">
        <v>408</v>
      </c>
      <c r="B91" s="3">
        <v>45961</v>
      </c>
      <c r="C91" s="4" t="s">
        <v>38</v>
      </c>
      <c r="D91" s="4" t="s">
        <v>17</v>
      </c>
      <c r="E91" s="4" t="s">
        <v>46</v>
      </c>
      <c r="F91" s="4" t="s">
        <v>68</v>
      </c>
      <c r="G91" s="4">
        <v>2</v>
      </c>
      <c r="H91" s="4">
        <v>88.91</v>
      </c>
      <c r="I91" s="4">
        <v>0.15</v>
      </c>
      <c r="J91" s="4">
        <v>151.15</v>
      </c>
      <c r="K91" s="4">
        <v>94.67</v>
      </c>
      <c r="L91" s="4" t="s">
        <v>40</v>
      </c>
      <c r="M91" s="4">
        <v>8</v>
      </c>
      <c r="N91" s="4">
        <v>4</v>
      </c>
      <c r="O91" s="4" t="s">
        <v>21</v>
      </c>
    </row>
    <row r="92" spans="1:15">
      <c r="A92" s="6" t="s">
        <v>224</v>
      </c>
      <c r="B92" s="3">
        <v>45816</v>
      </c>
      <c r="C92" s="4" t="s">
        <v>16</v>
      </c>
      <c r="D92" s="4" t="s">
        <v>30</v>
      </c>
      <c r="E92" s="4" t="s">
        <v>31</v>
      </c>
      <c r="F92" s="4" t="s">
        <v>32</v>
      </c>
      <c r="G92" s="4">
        <v>5</v>
      </c>
      <c r="H92" s="4">
        <v>35.22</v>
      </c>
      <c r="I92" s="4">
        <v>0</v>
      </c>
      <c r="J92" s="4">
        <v>176.1</v>
      </c>
      <c r="K92" s="4">
        <v>81.58</v>
      </c>
      <c r="L92" s="4" t="s">
        <v>40</v>
      </c>
      <c r="M92" s="4">
        <v>2</v>
      </c>
      <c r="N92" s="4">
        <v>1</v>
      </c>
      <c r="O92" s="4" t="s">
        <v>21</v>
      </c>
    </row>
    <row r="93" spans="1:15">
      <c r="A93" s="6" t="s">
        <v>395</v>
      </c>
      <c r="B93" s="3">
        <v>45951</v>
      </c>
      <c r="C93" s="4" t="s">
        <v>23</v>
      </c>
      <c r="D93" s="4" t="s">
        <v>17</v>
      </c>
      <c r="E93" s="4" t="s">
        <v>25</v>
      </c>
      <c r="F93" s="4" t="s">
        <v>63</v>
      </c>
      <c r="G93" s="4">
        <v>2</v>
      </c>
      <c r="H93" s="4">
        <v>50.3</v>
      </c>
      <c r="I93" s="4">
        <v>0.05</v>
      </c>
      <c r="J93" s="4">
        <v>95.57</v>
      </c>
      <c r="K93" s="4">
        <v>40.229999999999997</v>
      </c>
      <c r="L93" s="4" t="s">
        <v>40</v>
      </c>
      <c r="M93" s="4">
        <v>3</v>
      </c>
      <c r="N93" s="4">
        <v>1</v>
      </c>
      <c r="O93" s="4" t="s">
        <v>21</v>
      </c>
    </row>
    <row r="94" spans="1:15">
      <c r="A94" s="6" t="s">
        <v>410</v>
      </c>
      <c r="B94" s="3">
        <v>45965</v>
      </c>
      <c r="C94" s="4" t="s">
        <v>29</v>
      </c>
      <c r="D94" s="4" t="s">
        <v>17</v>
      </c>
      <c r="E94" s="4" t="s">
        <v>31</v>
      </c>
      <c r="F94" s="4" t="s">
        <v>91</v>
      </c>
      <c r="G94" s="4">
        <v>3</v>
      </c>
      <c r="H94" s="4">
        <v>60.63</v>
      </c>
      <c r="I94" s="4">
        <v>0.2</v>
      </c>
      <c r="J94" s="4">
        <v>145.51</v>
      </c>
      <c r="K94" s="4">
        <v>102.89</v>
      </c>
      <c r="L94" s="4" t="s">
        <v>14</v>
      </c>
      <c r="M94" s="4">
        <v>2</v>
      </c>
      <c r="N94" s="4">
        <v>2</v>
      </c>
      <c r="O94" s="4" t="s">
        <v>27</v>
      </c>
    </row>
    <row r="95" spans="1:15">
      <c r="A95" s="6" t="s">
        <v>212</v>
      </c>
      <c r="B95" s="3">
        <v>45799</v>
      </c>
      <c r="C95" s="4" t="s">
        <v>38</v>
      </c>
      <c r="D95" s="4" t="s">
        <v>17</v>
      </c>
      <c r="E95" s="4" t="s">
        <v>31</v>
      </c>
      <c r="F95" s="4" t="s">
        <v>91</v>
      </c>
      <c r="G95" s="4">
        <v>1</v>
      </c>
      <c r="H95" s="4">
        <v>64.55</v>
      </c>
      <c r="I95" s="4">
        <v>0.1</v>
      </c>
      <c r="J95" s="4">
        <v>58.09</v>
      </c>
      <c r="K95" s="4">
        <v>33.46</v>
      </c>
      <c r="L95" s="4" t="s">
        <v>40</v>
      </c>
      <c r="M95" s="4">
        <v>7</v>
      </c>
      <c r="N95" s="4">
        <v>5</v>
      </c>
      <c r="O95" s="4" t="s">
        <v>21</v>
      </c>
    </row>
    <row r="96" spans="1:15">
      <c r="A96" s="6" t="s">
        <v>427</v>
      </c>
      <c r="B96" s="3">
        <v>45985</v>
      </c>
      <c r="C96" s="4" t="s">
        <v>16</v>
      </c>
      <c r="D96" s="4" t="s">
        <v>17</v>
      </c>
      <c r="E96" s="4" t="s">
        <v>31</v>
      </c>
      <c r="F96" s="4" t="s">
        <v>59</v>
      </c>
      <c r="G96" s="4">
        <v>4</v>
      </c>
      <c r="H96" s="4">
        <v>44.67</v>
      </c>
      <c r="I96" s="4">
        <v>0.05</v>
      </c>
      <c r="J96" s="4">
        <v>169.75</v>
      </c>
      <c r="K96" s="4">
        <v>115.27</v>
      </c>
      <c r="L96" s="4" t="s">
        <v>33</v>
      </c>
      <c r="M96" s="4"/>
      <c r="N96" s="4"/>
      <c r="O96" s="4" t="s">
        <v>21</v>
      </c>
    </row>
    <row r="97" spans="1:15">
      <c r="A97" s="6" t="s">
        <v>168</v>
      </c>
      <c r="B97" s="3">
        <v>45763</v>
      </c>
      <c r="C97" s="4" t="s">
        <v>71</v>
      </c>
      <c r="D97" s="4" t="s">
        <v>17</v>
      </c>
      <c r="E97" s="4" t="s">
        <v>25</v>
      </c>
      <c r="F97" s="4" t="s">
        <v>89</v>
      </c>
      <c r="G97" s="4">
        <v>4</v>
      </c>
      <c r="H97" s="4">
        <v>116.46</v>
      </c>
      <c r="I97" s="4">
        <v>0.1</v>
      </c>
      <c r="J97" s="4">
        <v>419.26</v>
      </c>
      <c r="K97" s="4">
        <v>198.41</v>
      </c>
      <c r="L97" s="4" t="s">
        <v>33</v>
      </c>
      <c r="M97" s="4"/>
      <c r="N97" s="4"/>
      <c r="O97" s="4" t="s">
        <v>21</v>
      </c>
    </row>
    <row r="98" spans="1:15">
      <c r="A98" s="6" t="s">
        <v>147</v>
      </c>
      <c r="B98" s="3">
        <v>45745</v>
      </c>
      <c r="C98" s="4" t="s">
        <v>29</v>
      </c>
      <c r="D98" s="4" t="s">
        <v>17</v>
      </c>
      <c r="E98" s="4" t="s">
        <v>25</v>
      </c>
      <c r="F98" s="4" t="s">
        <v>63</v>
      </c>
      <c r="G98" s="4">
        <v>1</v>
      </c>
      <c r="H98" s="4">
        <v>47.81</v>
      </c>
      <c r="I98" s="4">
        <v>0.2</v>
      </c>
      <c r="J98" s="4">
        <v>38.25</v>
      </c>
      <c r="K98" s="4">
        <v>18.600000000000001</v>
      </c>
      <c r="L98" s="4" t="s">
        <v>40</v>
      </c>
      <c r="M98" s="4">
        <v>4</v>
      </c>
      <c r="N98" s="4">
        <v>4</v>
      </c>
      <c r="O98" s="4" t="s">
        <v>21</v>
      </c>
    </row>
    <row r="99" spans="1:15">
      <c r="A99" s="6" t="s">
        <v>339</v>
      </c>
      <c r="B99" s="3">
        <v>45907</v>
      </c>
      <c r="C99" s="4" t="s">
        <v>38</v>
      </c>
      <c r="D99" s="4" t="s">
        <v>24</v>
      </c>
      <c r="E99" s="4" t="s">
        <v>35</v>
      </c>
      <c r="F99" s="4" t="s">
        <v>55</v>
      </c>
      <c r="G99" s="4">
        <v>1</v>
      </c>
      <c r="H99" s="4">
        <v>57.49</v>
      </c>
      <c r="I99" s="4">
        <v>0</v>
      </c>
      <c r="J99" s="4">
        <v>57.49</v>
      </c>
      <c r="K99" s="4">
        <v>21.86</v>
      </c>
      <c r="L99" s="4" t="s">
        <v>14</v>
      </c>
      <c r="M99" s="4">
        <v>1</v>
      </c>
      <c r="N99" s="4">
        <v>3</v>
      </c>
      <c r="O99" s="4" t="s">
        <v>27</v>
      </c>
    </row>
    <row r="100" spans="1:15">
      <c r="A100" s="6" t="s">
        <v>317</v>
      </c>
      <c r="B100" s="3">
        <v>45890</v>
      </c>
      <c r="C100" s="4" t="s">
        <v>38</v>
      </c>
      <c r="D100" s="4" t="s">
        <v>30</v>
      </c>
      <c r="E100" s="4" t="s">
        <v>31</v>
      </c>
      <c r="F100" s="4" t="s">
        <v>32</v>
      </c>
      <c r="G100" s="4">
        <v>2</v>
      </c>
      <c r="H100" s="4">
        <v>36.25</v>
      </c>
      <c r="I100" s="4">
        <v>0</v>
      </c>
      <c r="J100" s="4">
        <v>72.5</v>
      </c>
      <c r="K100" s="4">
        <v>35.880000000000003</v>
      </c>
      <c r="L100" s="4" t="s">
        <v>33</v>
      </c>
      <c r="M100" s="4"/>
      <c r="N100" s="4"/>
      <c r="O100" s="4" t="s">
        <v>21</v>
      </c>
    </row>
    <row r="101" spans="1:15">
      <c r="A101" s="6" t="s">
        <v>106</v>
      </c>
      <c r="B101" s="3">
        <v>45709</v>
      </c>
      <c r="C101" s="4" t="s">
        <v>29</v>
      </c>
      <c r="D101" s="4" t="s">
        <v>17</v>
      </c>
      <c r="E101" s="4" t="s">
        <v>25</v>
      </c>
      <c r="F101" s="4" t="s">
        <v>26</v>
      </c>
      <c r="G101" s="4">
        <v>2</v>
      </c>
      <c r="H101" s="4">
        <v>247.68</v>
      </c>
      <c r="I101" s="4">
        <v>0.05</v>
      </c>
      <c r="J101" s="4">
        <v>470.59</v>
      </c>
      <c r="K101" s="4">
        <v>251.78</v>
      </c>
      <c r="L101" s="4" t="s">
        <v>14</v>
      </c>
      <c r="M101" s="4">
        <v>6</v>
      </c>
      <c r="N101" s="4">
        <v>4</v>
      </c>
      <c r="O101" s="4" t="s">
        <v>27</v>
      </c>
    </row>
    <row r="102" spans="1:15">
      <c r="A102" s="6" t="s">
        <v>405</v>
      </c>
      <c r="B102" s="3">
        <v>45961</v>
      </c>
      <c r="C102" s="4" t="s">
        <v>38</v>
      </c>
      <c r="D102" s="4" t="s">
        <v>17</v>
      </c>
      <c r="E102" s="4" t="s">
        <v>35</v>
      </c>
      <c r="F102" s="4" t="s">
        <v>36</v>
      </c>
      <c r="G102" s="4">
        <v>3</v>
      </c>
      <c r="H102" s="4">
        <v>40.07</v>
      </c>
      <c r="I102" s="4">
        <v>0.1</v>
      </c>
      <c r="J102" s="4">
        <v>108.19</v>
      </c>
      <c r="K102" s="4">
        <v>44.74</v>
      </c>
      <c r="L102" s="4" t="s">
        <v>40</v>
      </c>
      <c r="M102" s="4">
        <v>4</v>
      </c>
      <c r="N102" s="4">
        <v>4</v>
      </c>
      <c r="O102" s="4" t="s">
        <v>21</v>
      </c>
    </row>
    <row r="103" spans="1:15">
      <c r="A103" s="6" t="s">
        <v>135</v>
      </c>
      <c r="B103" s="3">
        <v>45730</v>
      </c>
      <c r="C103" s="4" t="s">
        <v>29</v>
      </c>
      <c r="D103" s="4" t="s">
        <v>17</v>
      </c>
      <c r="E103" s="4" t="s">
        <v>18</v>
      </c>
      <c r="F103" s="4" t="s">
        <v>19</v>
      </c>
      <c r="G103" s="4">
        <v>2</v>
      </c>
      <c r="H103" s="4">
        <v>155.02000000000001</v>
      </c>
      <c r="I103" s="4">
        <v>0</v>
      </c>
      <c r="J103" s="4">
        <v>310.04000000000002</v>
      </c>
      <c r="K103" s="4">
        <v>159.88</v>
      </c>
      <c r="L103" s="4" t="s">
        <v>40</v>
      </c>
      <c r="M103" s="4">
        <v>8</v>
      </c>
      <c r="N103" s="4">
        <v>2</v>
      </c>
      <c r="O103" s="4" t="s">
        <v>21</v>
      </c>
    </row>
    <row r="104" spans="1:15">
      <c r="A104" s="6" t="s">
        <v>394</v>
      </c>
      <c r="B104" s="3">
        <v>45951</v>
      </c>
      <c r="C104" s="4" t="s">
        <v>29</v>
      </c>
      <c r="D104" s="4" t="s">
        <v>17</v>
      </c>
      <c r="E104" s="4" t="s">
        <v>46</v>
      </c>
      <c r="F104" s="4" t="s">
        <v>47</v>
      </c>
      <c r="G104" s="4">
        <v>4</v>
      </c>
      <c r="H104" s="4">
        <v>170.88</v>
      </c>
      <c r="I104" s="4">
        <v>0.15</v>
      </c>
      <c r="J104" s="4">
        <v>580.99</v>
      </c>
      <c r="K104" s="4">
        <v>390.21</v>
      </c>
      <c r="L104" s="4" t="s">
        <v>40</v>
      </c>
      <c r="M104" s="4">
        <v>2</v>
      </c>
      <c r="N104" s="4">
        <v>2</v>
      </c>
      <c r="O104" s="4" t="s">
        <v>21</v>
      </c>
    </row>
    <row r="105" spans="1:15">
      <c r="A105" s="6" t="s">
        <v>22</v>
      </c>
      <c r="B105" s="3">
        <v>45660</v>
      </c>
      <c r="C105" s="4" t="s">
        <v>16</v>
      </c>
      <c r="D105" s="4" t="s">
        <v>24</v>
      </c>
      <c r="E105" s="4" t="s">
        <v>25</v>
      </c>
      <c r="F105" s="4" t="s">
        <v>26</v>
      </c>
      <c r="G105" s="4">
        <v>5</v>
      </c>
      <c r="H105" s="4">
        <v>242.02</v>
      </c>
      <c r="I105" s="4">
        <v>0</v>
      </c>
      <c r="J105" s="4">
        <v>1210.0999999999999</v>
      </c>
      <c r="K105" s="4">
        <v>670.94</v>
      </c>
      <c r="L105" s="4" t="s">
        <v>14</v>
      </c>
      <c r="M105" s="4">
        <v>6</v>
      </c>
      <c r="N105" s="4">
        <v>2</v>
      </c>
      <c r="O105" s="4" t="s">
        <v>27</v>
      </c>
    </row>
    <row r="106" spans="1:15">
      <c r="A106" s="6" t="s">
        <v>392</v>
      </c>
      <c r="B106" s="3">
        <v>45948</v>
      </c>
      <c r="C106" s="4" t="s">
        <v>23</v>
      </c>
      <c r="D106" s="4" t="s">
        <v>30</v>
      </c>
      <c r="E106" s="4" t="s">
        <v>25</v>
      </c>
      <c r="F106" s="4" t="s">
        <v>26</v>
      </c>
      <c r="G106" s="4">
        <v>2</v>
      </c>
      <c r="H106" s="4">
        <v>235.18</v>
      </c>
      <c r="I106" s="4">
        <v>0.2</v>
      </c>
      <c r="J106" s="4">
        <v>376.29</v>
      </c>
      <c r="K106" s="4">
        <v>267.70999999999998</v>
      </c>
      <c r="L106" s="4" t="s">
        <v>40</v>
      </c>
      <c r="M106" s="4">
        <v>1</v>
      </c>
      <c r="N106" s="4">
        <v>5</v>
      </c>
      <c r="O106" s="4" t="s">
        <v>21</v>
      </c>
    </row>
    <row r="107" spans="1:15">
      <c r="A107" s="6" t="s">
        <v>389</v>
      </c>
      <c r="B107" s="3">
        <v>45945</v>
      </c>
      <c r="C107" s="4" t="s">
        <v>38</v>
      </c>
      <c r="D107" s="4" t="s">
        <v>24</v>
      </c>
      <c r="E107" s="4" t="s">
        <v>18</v>
      </c>
      <c r="F107" s="4" t="s">
        <v>19</v>
      </c>
      <c r="G107" s="4">
        <v>1</v>
      </c>
      <c r="H107" s="4">
        <v>144.66999999999999</v>
      </c>
      <c r="I107" s="4">
        <v>0.15</v>
      </c>
      <c r="J107" s="4">
        <v>122.97</v>
      </c>
      <c r="K107" s="4">
        <v>78.56</v>
      </c>
      <c r="L107" s="4" t="s">
        <v>14</v>
      </c>
      <c r="M107" s="4">
        <v>7</v>
      </c>
      <c r="N107" s="4">
        <v>2</v>
      </c>
      <c r="O107" s="4" t="s">
        <v>27</v>
      </c>
    </row>
    <row r="108" spans="1:15">
      <c r="A108" s="6" t="s">
        <v>382</v>
      </c>
      <c r="B108" s="3">
        <v>45942</v>
      </c>
      <c r="C108" s="4" t="s">
        <v>29</v>
      </c>
      <c r="D108" s="4" t="s">
        <v>30</v>
      </c>
      <c r="E108" s="4" t="s">
        <v>35</v>
      </c>
      <c r="F108" s="4" t="s">
        <v>55</v>
      </c>
      <c r="G108" s="4">
        <v>5</v>
      </c>
      <c r="H108" s="4">
        <v>58.78</v>
      </c>
      <c r="I108" s="4">
        <v>0.15</v>
      </c>
      <c r="J108" s="4">
        <v>249.81</v>
      </c>
      <c r="K108" s="4">
        <v>118.42</v>
      </c>
      <c r="L108" s="4" t="s">
        <v>40</v>
      </c>
      <c r="M108" s="4">
        <v>6</v>
      </c>
      <c r="N108" s="4">
        <v>1</v>
      </c>
      <c r="O108" s="4" t="s">
        <v>21</v>
      </c>
    </row>
    <row r="109" spans="1:15">
      <c r="A109" s="6" t="s">
        <v>326</v>
      </c>
      <c r="B109" s="3">
        <v>45900</v>
      </c>
      <c r="C109" s="4" t="s">
        <v>23</v>
      </c>
      <c r="D109" s="4" t="s">
        <v>17</v>
      </c>
      <c r="E109" s="4" t="s">
        <v>18</v>
      </c>
      <c r="F109" s="4" t="s">
        <v>19</v>
      </c>
      <c r="G109" s="4">
        <v>4</v>
      </c>
      <c r="H109" s="4">
        <v>143.68</v>
      </c>
      <c r="I109" s="4">
        <v>0.1</v>
      </c>
      <c r="J109" s="4">
        <v>517.25</v>
      </c>
      <c r="K109" s="4">
        <v>299.91000000000003</v>
      </c>
      <c r="L109" s="4" t="s">
        <v>40</v>
      </c>
      <c r="M109" s="4">
        <v>3</v>
      </c>
      <c r="N109" s="4">
        <v>2</v>
      </c>
      <c r="O109" s="4" t="s">
        <v>21</v>
      </c>
    </row>
    <row r="110" spans="1:15">
      <c r="A110" s="6" t="s">
        <v>255</v>
      </c>
      <c r="B110" s="3">
        <v>45830</v>
      </c>
      <c r="C110" s="4" t="s">
        <v>29</v>
      </c>
      <c r="D110" s="4" t="s">
        <v>17</v>
      </c>
      <c r="E110" s="4" t="s">
        <v>31</v>
      </c>
      <c r="F110" s="4" t="s">
        <v>91</v>
      </c>
      <c r="G110" s="4">
        <v>5</v>
      </c>
      <c r="H110" s="4">
        <v>58.6</v>
      </c>
      <c r="I110" s="4">
        <v>0</v>
      </c>
      <c r="J110" s="4">
        <v>293</v>
      </c>
      <c r="K110" s="4">
        <v>165.54</v>
      </c>
      <c r="L110" s="4" t="s">
        <v>40</v>
      </c>
      <c r="M110" s="4">
        <v>7</v>
      </c>
      <c r="N110" s="4">
        <v>4</v>
      </c>
      <c r="O110" s="4" t="s">
        <v>21</v>
      </c>
    </row>
    <row r="111" spans="1:15">
      <c r="A111" s="6" t="s">
        <v>348</v>
      </c>
      <c r="B111" s="3">
        <v>45915</v>
      </c>
      <c r="C111" s="4" t="s">
        <v>71</v>
      </c>
      <c r="D111" s="4" t="s">
        <v>24</v>
      </c>
      <c r="E111" s="4" t="s">
        <v>46</v>
      </c>
      <c r="F111" s="4" t="s">
        <v>68</v>
      </c>
      <c r="G111" s="4">
        <v>1</v>
      </c>
      <c r="H111" s="4">
        <v>89.16</v>
      </c>
      <c r="I111" s="4">
        <v>0.2</v>
      </c>
      <c r="J111" s="4">
        <v>71.33</v>
      </c>
      <c r="K111" s="4">
        <v>45.34</v>
      </c>
      <c r="L111" s="4" t="s">
        <v>40</v>
      </c>
      <c r="M111" s="4">
        <v>8</v>
      </c>
      <c r="N111" s="4">
        <v>5</v>
      </c>
      <c r="O111" s="4" t="s">
        <v>21</v>
      </c>
    </row>
    <row r="112" spans="1:15">
      <c r="A112" s="6" t="s">
        <v>161</v>
      </c>
      <c r="B112" s="3">
        <v>45759</v>
      </c>
      <c r="C112" s="4" t="s">
        <v>38</v>
      </c>
      <c r="D112" s="4" t="s">
        <v>17</v>
      </c>
      <c r="E112" s="4" t="s">
        <v>31</v>
      </c>
      <c r="F112" s="4" t="s">
        <v>32</v>
      </c>
      <c r="G112" s="4">
        <v>1</v>
      </c>
      <c r="H112" s="4">
        <v>37.04</v>
      </c>
      <c r="I112" s="4">
        <v>0</v>
      </c>
      <c r="J112" s="4">
        <v>37.04</v>
      </c>
      <c r="K112" s="4">
        <v>16.38</v>
      </c>
      <c r="L112" s="4" t="s">
        <v>40</v>
      </c>
      <c r="M112" s="4">
        <v>8</v>
      </c>
      <c r="N112" s="4">
        <v>4</v>
      </c>
      <c r="O112" s="4" t="s">
        <v>21</v>
      </c>
    </row>
    <row r="113" spans="1:15">
      <c r="A113" s="6" t="s">
        <v>381</v>
      </c>
      <c r="B113" s="3">
        <v>45942</v>
      </c>
      <c r="C113" s="4" t="s">
        <v>23</v>
      </c>
      <c r="D113" s="4" t="s">
        <v>30</v>
      </c>
      <c r="E113" s="4" t="s">
        <v>46</v>
      </c>
      <c r="F113" s="4" t="s">
        <v>68</v>
      </c>
      <c r="G113" s="4">
        <v>1</v>
      </c>
      <c r="H113" s="4">
        <v>95.01</v>
      </c>
      <c r="I113" s="4">
        <v>0.1</v>
      </c>
      <c r="J113" s="4">
        <v>85.51</v>
      </c>
      <c r="K113" s="4">
        <v>49.43</v>
      </c>
      <c r="L113" s="4" t="s">
        <v>40</v>
      </c>
      <c r="M113" s="4">
        <v>1</v>
      </c>
      <c r="N113" s="4">
        <v>5</v>
      </c>
      <c r="O113" s="4" t="s">
        <v>21</v>
      </c>
    </row>
    <row r="114" spans="1:15">
      <c r="A114" s="6" t="s">
        <v>290</v>
      </c>
      <c r="B114" s="3">
        <v>45860</v>
      </c>
      <c r="C114" s="4" t="s">
        <v>29</v>
      </c>
      <c r="D114" s="4" t="s">
        <v>17</v>
      </c>
      <c r="E114" s="4" t="s">
        <v>18</v>
      </c>
      <c r="F114" s="4" t="s">
        <v>80</v>
      </c>
      <c r="G114" s="4">
        <v>1</v>
      </c>
      <c r="H114" s="4">
        <v>131.44</v>
      </c>
      <c r="I114" s="4">
        <v>0.1</v>
      </c>
      <c r="J114" s="4">
        <v>118.3</v>
      </c>
      <c r="K114" s="4">
        <v>53.4</v>
      </c>
      <c r="L114" s="4" t="s">
        <v>40</v>
      </c>
      <c r="M114" s="4">
        <v>4</v>
      </c>
      <c r="N114" s="4">
        <v>2</v>
      </c>
      <c r="O114" s="4" t="s">
        <v>21</v>
      </c>
    </row>
    <row r="115" spans="1:15">
      <c r="A115" s="6" t="s">
        <v>245</v>
      </c>
      <c r="B115" s="3">
        <v>45825</v>
      </c>
      <c r="C115" s="4" t="s">
        <v>16</v>
      </c>
      <c r="D115" s="4" t="s">
        <v>24</v>
      </c>
      <c r="E115" s="4" t="s">
        <v>35</v>
      </c>
      <c r="F115" s="4" t="s">
        <v>36</v>
      </c>
      <c r="G115" s="4">
        <v>2</v>
      </c>
      <c r="H115" s="4">
        <v>42.57</v>
      </c>
      <c r="I115" s="4">
        <v>0.15</v>
      </c>
      <c r="J115" s="4">
        <v>72.37</v>
      </c>
      <c r="K115" s="4">
        <v>27.63</v>
      </c>
      <c r="L115" s="4" t="s">
        <v>20</v>
      </c>
      <c r="M115" s="4"/>
      <c r="N115" s="4"/>
      <c r="O115" s="4" t="s">
        <v>21</v>
      </c>
    </row>
    <row r="116" spans="1:15">
      <c r="A116" s="6" t="s">
        <v>272</v>
      </c>
      <c r="B116" s="3">
        <v>45842</v>
      </c>
      <c r="C116" s="4" t="s">
        <v>16</v>
      </c>
      <c r="D116" s="4" t="s">
        <v>24</v>
      </c>
      <c r="E116" s="4" t="s">
        <v>31</v>
      </c>
      <c r="F116" s="4" t="s">
        <v>91</v>
      </c>
      <c r="G116" s="4">
        <v>3</v>
      </c>
      <c r="H116" s="4">
        <v>60.37</v>
      </c>
      <c r="I116" s="4">
        <v>0.15</v>
      </c>
      <c r="J116" s="4">
        <v>153.94</v>
      </c>
      <c r="K116" s="4">
        <v>108.19</v>
      </c>
      <c r="L116" s="4" t="s">
        <v>14</v>
      </c>
      <c r="M116" s="4">
        <v>1</v>
      </c>
      <c r="N116" s="4">
        <v>2</v>
      </c>
      <c r="O116" s="4" t="s">
        <v>27</v>
      </c>
    </row>
    <row r="117" spans="1:15">
      <c r="A117" s="6" t="s">
        <v>296</v>
      </c>
      <c r="B117" s="3">
        <v>45865</v>
      </c>
      <c r="C117" s="4" t="s">
        <v>16</v>
      </c>
      <c r="D117" s="4" t="s">
        <v>30</v>
      </c>
      <c r="E117" s="4" t="s">
        <v>46</v>
      </c>
      <c r="F117" s="4" t="s">
        <v>47</v>
      </c>
      <c r="G117" s="4">
        <v>2</v>
      </c>
      <c r="H117" s="4">
        <v>189.89</v>
      </c>
      <c r="I117" s="4">
        <v>0.05</v>
      </c>
      <c r="J117" s="4">
        <v>360.79</v>
      </c>
      <c r="K117" s="4">
        <v>175.86</v>
      </c>
      <c r="L117" s="4" t="s">
        <v>40</v>
      </c>
      <c r="M117" s="4">
        <v>3</v>
      </c>
      <c r="N117" s="4">
        <v>1</v>
      </c>
      <c r="O117" s="4" t="s">
        <v>21</v>
      </c>
    </row>
    <row r="118" spans="1:15">
      <c r="A118" s="6" t="s">
        <v>52</v>
      </c>
      <c r="B118" s="3">
        <v>45671</v>
      </c>
      <c r="C118" s="4" t="s">
        <v>38</v>
      </c>
      <c r="D118" s="4" t="s">
        <v>24</v>
      </c>
      <c r="E118" s="4" t="s">
        <v>46</v>
      </c>
      <c r="F118" s="4" t="s">
        <v>47</v>
      </c>
      <c r="G118" s="4">
        <v>5</v>
      </c>
      <c r="H118" s="4">
        <v>181.4</v>
      </c>
      <c r="I118" s="4">
        <v>0.15</v>
      </c>
      <c r="J118" s="4">
        <v>770.95</v>
      </c>
      <c r="K118" s="4">
        <v>499.26</v>
      </c>
      <c r="L118" s="4" t="s">
        <v>40</v>
      </c>
      <c r="M118" s="4">
        <v>1</v>
      </c>
      <c r="N118" s="4">
        <v>3</v>
      </c>
      <c r="O118" s="4" t="s">
        <v>21</v>
      </c>
    </row>
    <row r="119" spans="1:15">
      <c r="A119" s="6" t="s">
        <v>108</v>
      </c>
      <c r="B119" s="3">
        <v>45709</v>
      </c>
      <c r="C119" s="4" t="s">
        <v>23</v>
      </c>
      <c r="D119" s="4" t="s">
        <v>17</v>
      </c>
      <c r="E119" s="4" t="s">
        <v>25</v>
      </c>
      <c r="F119" s="4" t="s">
        <v>26</v>
      </c>
      <c r="G119" s="4">
        <v>2</v>
      </c>
      <c r="H119" s="4">
        <v>238.3</v>
      </c>
      <c r="I119" s="4">
        <v>0.1</v>
      </c>
      <c r="J119" s="4">
        <v>428.94</v>
      </c>
      <c r="K119" s="4">
        <v>254.5</v>
      </c>
      <c r="L119" s="4" t="s">
        <v>40</v>
      </c>
      <c r="M119" s="4">
        <v>6</v>
      </c>
      <c r="N119" s="4">
        <v>4</v>
      </c>
      <c r="O119" s="4" t="s">
        <v>21</v>
      </c>
    </row>
    <row r="120" spans="1:15">
      <c r="A120" s="6" t="s">
        <v>150</v>
      </c>
      <c r="B120" s="3">
        <v>45747</v>
      </c>
      <c r="C120" s="4" t="s">
        <v>16</v>
      </c>
      <c r="D120" s="4" t="s">
        <v>17</v>
      </c>
      <c r="E120" s="4" t="s">
        <v>46</v>
      </c>
      <c r="F120" s="4" t="s">
        <v>68</v>
      </c>
      <c r="G120" s="4">
        <v>1</v>
      </c>
      <c r="H120" s="4">
        <v>88.83</v>
      </c>
      <c r="I120" s="4">
        <v>0</v>
      </c>
      <c r="J120" s="4">
        <v>88.83</v>
      </c>
      <c r="K120" s="4">
        <v>50.48</v>
      </c>
      <c r="L120" s="4" t="s">
        <v>40</v>
      </c>
      <c r="M120" s="4">
        <v>4</v>
      </c>
      <c r="N120" s="4">
        <v>5</v>
      </c>
      <c r="O120" s="4" t="s">
        <v>21</v>
      </c>
    </row>
    <row r="121" spans="1:15">
      <c r="A121" s="6" t="s">
        <v>93</v>
      </c>
      <c r="B121" s="3">
        <v>45699</v>
      </c>
      <c r="C121" s="4" t="s">
        <v>38</v>
      </c>
      <c r="D121" s="4" t="s">
        <v>17</v>
      </c>
      <c r="E121" s="4" t="s">
        <v>18</v>
      </c>
      <c r="F121" s="4" t="s">
        <v>19</v>
      </c>
      <c r="G121" s="4">
        <v>5</v>
      </c>
      <c r="H121" s="4">
        <v>164.27</v>
      </c>
      <c r="I121" s="4">
        <v>0.15</v>
      </c>
      <c r="J121" s="4">
        <v>698.15</v>
      </c>
      <c r="K121" s="4">
        <v>413.27</v>
      </c>
      <c r="L121" s="4" t="s">
        <v>40</v>
      </c>
      <c r="M121" s="4">
        <v>4</v>
      </c>
      <c r="N121" s="4">
        <v>4</v>
      </c>
      <c r="O121" s="4" t="s">
        <v>21</v>
      </c>
    </row>
    <row r="122" spans="1:15">
      <c r="A122" s="6" t="s">
        <v>230</v>
      </c>
      <c r="B122" s="3">
        <v>45818</v>
      </c>
      <c r="C122" s="4" t="s">
        <v>16</v>
      </c>
      <c r="D122" s="4" t="s">
        <v>17</v>
      </c>
      <c r="E122" s="4" t="s">
        <v>35</v>
      </c>
      <c r="F122" s="4" t="s">
        <v>39</v>
      </c>
      <c r="G122" s="4">
        <v>4</v>
      </c>
      <c r="H122" s="4">
        <v>75.760000000000005</v>
      </c>
      <c r="I122" s="4">
        <v>0.1</v>
      </c>
      <c r="J122" s="4">
        <v>272.74</v>
      </c>
      <c r="K122" s="4">
        <v>134.72999999999999</v>
      </c>
      <c r="L122" s="4" t="s">
        <v>40</v>
      </c>
      <c r="M122" s="4">
        <v>6</v>
      </c>
      <c r="N122" s="4">
        <v>5</v>
      </c>
      <c r="O122" s="4" t="s">
        <v>21</v>
      </c>
    </row>
    <row r="123" spans="1:15">
      <c r="A123" s="6" t="s">
        <v>330</v>
      </c>
      <c r="B123" s="3">
        <v>45901</v>
      </c>
      <c r="C123" s="4" t="s">
        <v>16</v>
      </c>
      <c r="D123" s="4" t="s">
        <v>17</v>
      </c>
      <c r="E123" s="4" t="s">
        <v>18</v>
      </c>
      <c r="F123" s="4" t="s">
        <v>19</v>
      </c>
      <c r="G123" s="4">
        <v>4</v>
      </c>
      <c r="H123" s="4">
        <v>157.74</v>
      </c>
      <c r="I123" s="4">
        <v>0.05</v>
      </c>
      <c r="J123" s="4">
        <v>599.41</v>
      </c>
      <c r="K123" s="4">
        <v>328.3</v>
      </c>
      <c r="L123" s="4" t="s">
        <v>40</v>
      </c>
      <c r="M123" s="4">
        <v>7</v>
      </c>
      <c r="N123" s="4">
        <v>2</v>
      </c>
      <c r="O123" s="4" t="s">
        <v>21</v>
      </c>
    </row>
    <row r="124" spans="1:15">
      <c r="A124" s="6" t="s">
        <v>320</v>
      </c>
      <c r="B124" s="3">
        <v>45896</v>
      </c>
      <c r="C124" s="4" t="s">
        <v>23</v>
      </c>
      <c r="D124" s="4" t="s">
        <v>30</v>
      </c>
      <c r="E124" s="4" t="s">
        <v>18</v>
      </c>
      <c r="F124" s="4" t="s">
        <v>80</v>
      </c>
      <c r="G124" s="4">
        <v>2</v>
      </c>
      <c r="H124" s="4">
        <v>124.24</v>
      </c>
      <c r="I124" s="4">
        <v>0.1</v>
      </c>
      <c r="J124" s="4">
        <v>223.63</v>
      </c>
      <c r="K124" s="4">
        <v>102.36</v>
      </c>
      <c r="L124" s="4" t="s">
        <v>40</v>
      </c>
      <c r="M124" s="4">
        <v>1</v>
      </c>
      <c r="N124" s="4">
        <v>4</v>
      </c>
      <c r="O124" s="4" t="s">
        <v>21</v>
      </c>
    </row>
    <row r="125" spans="1:15">
      <c r="A125" s="6" t="s">
        <v>251</v>
      </c>
      <c r="B125" s="3">
        <v>45829</v>
      </c>
      <c r="C125" s="4" t="s">
        <v>16</v>
      </c>
      <c r="D125" s="4" t="s">
        <v>17</v>
      </c>
      <c r="E125" s="4" t="s">
        <v>46</v>
      </c>
      <c r="F125" s="4" t="s">
        <v>49</v>
      </c>
      <c r="G125" s="4">
        <v>5</v>
      </c>
      <c r="H125" s="4">
        <v>318.47000000000003</v>
      </c>
      <c r="I125" s="4">
        <v>0.05</v>
      </c>
      <c r="J125" s="4">
        <v>1512.73</v>
      </c>
      <c r="K125" s="4">
        <v>1016.2</v>
      </c>
      <c r="L125" s="4" t="s">
        <v>14</v>
      </c>
      <c r="M125" s="4">
        <v>4</v>
      </c>
      <c r="N125" s="4">
        <v>3</v>
      </c>
      <c r="O125" s="4" t="s">
        <v>27</v>
      </c>
    </row>
    <row r="126" spans="1:15">
      <c r="A126" s="6" t="s">
        <v>414</v>
      </c>
      <c r="B126" s="3">
        <v>45970</v>
      </c>
      <c r="C126" s="4" t="s">
        <v>29</v>
      </c>
      <c r="D126" s="4" t="s">
        <v>17</v>
      </c>
      <c r="E126" s="4" t="s">
        <v>46</v>
      </c>
      <c r="F126" s="4" t="s">
        <v>47</v>
      </c>
      <c r="G126" s="4">
        <v>4</v>
      </c>
      <c r="H126" s="4">
        <v>165.57</v>
      </c>
      <c r="I126" s="4">
        <v>0</v>
      </c>
      <c r="J126" s="4">
        <v>662.28</v>
      </c>
      <c r="K126" s="4">
        <v>362.18</v>
      </c>
      <c r="L126" s="4" t="s">
        <v>40</v>
      </c>
      <c r="M126" s="4">
        <v>4</v>
      </c>
      <c r="N126" s="4">
        <v>4</v>
      </c>
      <c r="O126" s="4" t="s">
        <v>21</v>
      </c>
    </row>
    <row r="127" spans="1:15">
      <c r="A127" s="6" t="s">
        <v>295</v>
      </c>
      <c r="B127" s="3">
        <v>45864</v>
      </c>
      <c r="C127" s="4" t="s">
        <v>23</v>
      </c>
      <c r="D127" s="4" t="s">
        <v>17</v>
      </c>
      <c r="E127" s="4" t="s">
        <v>35</v>
      </c>
      <c r="F127" s="4" t="s">
        <v>36</v>
      </c>
      <c r="G127" s="4">
        <v>2</v>
      </c>
      <c r="H127" s="4">
        <v>38.86</v>
      </c>
      <c r="I127" s="4">
        <v>0</v>
      </c>
      <c r="J127" s="4">
        <v>77.72</v>
      </c>
      <c r="K127" s="4">
        <v>26.95</v>
      </c>
      <c r="L127" s="4" t="s">
        <v>40</v>
      </c>
      <c r="M127" s="4">
        <v>7</v>
      </c>
      <c r="N127" s="4">
        <v>5</v>
      </c>
      <c r="O127" s="4" t="s">
        <v>21</v>
      </c>
    </row>
    <row r="128" spans="1:15">
      <c r="A128" s="6" t="s">
        <v>70</v>
      </c>
      <c r="B128" s="3">
        <v>45686</v>
      </c>
      <c r="C128" s="4" t="s">
        <v>16</v>
      </c>
      <c r="D128" s="4" t="s">
        <v>30</v>
      </c>
      <c r="E128" s="4" t="s">
        <v>31</v>
      </c>
      <c r="F128" s="4" t="s">
        <v>59</v>
      </c>
      <c r="G128" s="4">
        <v>1</v>
      </c>
      <c r="H128" s="4">
        <v>44.31</v>
      </c>
      <c r="I128" s="4">
        <v>0</v>
      </c>
      <c r="J128" s="4">
        <v>44.31</v>
      </c>
      <c r="K128" s="4">
        <v>27.52</v>
      </c>
      <c r="L128" s="4" t="s">
        <v>40</v>
      </c>
      <c r="M128" s="4">
        <v>1</v>
      </c>
      <c r="N128" s="4">
        <v>1</v>
      </c>
      <c r="O128" s="4" t="s">
        <v>21</v>
      </c>
    </row>
    <row r="129" spans="1:15">
      <c r="A129" s="6" t="s">
        <v>372</v>
      </c>
      <c r="B129" s="3">
        <v>45937</v>
      </c>
      <c r="C129" s="4" t="s">
        <v>29</v>
      </c>
      <c r="D129" s="4" t="s">
        <v>24</v>
      </c>
      <c r="E129" s="4" t="s">
        <v>18</v>
      </c>
      <c r="F129" s="4" t="s">
        <v>57</v>
      </c>
      <c r="G129" s="4">
        <v>1</v>
      </c>
      <c r="H129" s="4">
        <v>44.11</v>
      </c>
      <c r="I129" s="4">
        <v>0</v>
      </c>
      <c r="J129" s="4">
        <v>44.11</v>
      </c>
      <c r="K129" s="4">
        <v>17.489999999999998</v>
      </c>
      <c r="L129" s="4" t="s">
        <v>14</v>
      </c>
      <c r="M129" s="4">
        <v>8</v>
      </c>
      <c r="N129" s="4">
        <v>5</v>
      </c>
      <c r="O129" s="4" t="s">
        <v>27</v>
      </c>
    </row>
    <row r="130" spans="1:15">
      <c r="A130" s="6" t="s">
        <v>298</v>
      </c>
      <c r="B130" s="3">
        <v>45867</v>
      </c>
      <c r="C130" s="4" t="s">
        <v>23</v>
      </c>
      <c r="D130" s="4" t="s">
        <v>24</v>
      </c>
      <c r="E130" s="4" t="s">
        <v>46</v>
      </c>
      <c r="F130" s="4" t="s">
        <v>68</v>
      </c>
      <c r="G130" s="4">
        <v>5</v>
      </c>
      <c r="H130" s="4">
        <v>94.88</v>
      </c>
      <c r="I130" s="4">
        <v>0.05</v>
      </c>
      <c r="J130" s="4">
        <v>450.68</v>
      </c>
      <c r="K130" s="4">
        <v>258.08</v>
      </c>
      <c r="L130" s="4" t="s">
        <v>14</v>
      </c>
      <c r="M130" s="4">
        <v>4</v>
      </c>
      <c r="N130" s="4">
        <v>3</v>
      </c>
      <c r="O130" s="4" t="s">
        <v>27</v>
      </c>
    </row>
    <row r="131" spans="1:15">
      <c r="A131" s="6" t="s">
        <v>315</v>
      </c>
      <c r="B131" s="3">
        <v>45889</v>
      </c>
      <c r="C131" s="4" t="s">
        <v>29</v>
      </c>
      <c r="D131" s="4" t="s">
        <v>17</v>
      </c>
      <c r="E131" s="4" t="s">
        <v>35</v>
      </c>
      <c r="F131" s="4" t="s">
        <v>39</v>
      </c>
      <c r="G131" s="4">
        <v>2</v>
      </c>
      <c r="H131" s="4">
        <v>80.489999999999995</v>
      </c>
      <c r="I131" s="4">
        <v>0</v>
      </c>
      <c r="J131" s="4">
        <v>160.97999999999999</v>
      </c>
      <c r="K131" s="4">
        <v>64.91</v>
      </c>
      <c r="L131" s="4" t="s">
        <v>40</v>
      </c>
      <c r="M131" s="4">
        <v>4</v>
      </c>
      <c r="N131" s="4">
        <v>3</v>
      </c>
      <c r="O131" s="4" t="s">
        <v>21</v>
      </c>
    </row>
    <row r="132" spans="1:15">
      <c r="A132" s="6" t="s">
        <v>293</v>
      </c>
      <c r="B132" s="3">
        <v>45864</v>
      </c>
      <c r="C132" s="4" t="s">
        <v>38</v>
      </c>
      <c r="D132" s="4" t="s">
        <v>17</v>
      </c>
      <c r="E132" s="4" t="s">
        <v>25</v>
      </c>
      <c r="F132" s="4" t="s">
        <v>89</v>
      </c>
      <c r="G132" s="4">
        <v>5</v>
      </c>
      <c r="H132" s="4">
        <v>107.61</v>
      </c>
      <c r="I132" s="4">
        <v>0.15</v>
      </c>
      <c r="J132" s="4">
        <v>457.34</v>
      </c>
      <c r="K132" s="4">
        <v>252.9</v>
      </c>
      <c r="L132" s="4" t="s">
        <v>40</v>
      </c>
      <c r="M132" s="4">
        <v>4</v>
      </c>
      <c r="N132" s="4">
        <v>2</v>
      </c>
      <c r="O132" s="4" t="s">
        <v>21</v>
      </c>
    </row>
    <row r="133" spans="1:15">
      <c r="A133" s="6" t="s">
        <v>288</v>
      </c>
      <c r="B133" s="3">
        <v>45860</v>
      </c>
      <c r="C133" s="4" t="s">
        <v>29</v>
      </c>
      <c r="D133" s="4" t="s">
        <v>24</v>
      </c>
      <c r="E133" s="4" t="s">
        <v>18</v>
      </c>
      <c r="F133" s="4" t="s">
        <v>19</v>
      </c>
      <c r="G133" s="4">
        <v>2</v>
      </c>
      <c r="H133" s="4">
        <v>146.36000000000001</v>
      </c>
      <c r="I133" s="4">
        <v>0</v>
      </c>
      <c r="J133" s="4">
        <v>292.72000000000003</v>
      </c>
      <c r="K133" s="4">
        <v>145.88</v>
      </c>
      <c r="L133" s="4" t="s">
        <v>40</v>
      </c>
      <c r="M133" s="4">
        <v>8</v>
      </c>
      <c r="N133" s="4">
        <v>2</v>
      </c>
      <c r="O133" s="4" t="s">
        <v>21</v>
      </c>
    </row>
    <row r="134" spans="1:15">
      <c r="A134" s="6" t="s">
        <v>81</v>
      </c>
      <c r="B134" s="3">
        <v>45691</v>
      </c>
      <c r="C134" s="4" t="s">
        <v>16</v>
      </c>
      <c r="D134" s="4" t="s">
        <v>24</v>
      </c>
      <c r="E134" s="4" t="s">
        <v>46</v>
      </c>
      <c r="F134" s="4" t="s">
        <v>68</v>
      </c>
      <c r="G134" s="4">
        <v>3</v>
      </c>
      <c r="H134" s="4">
        <v>90.39</v>
      </c>
      <c r="I134" s="4">
        <v>0.1</v>
      </c>
      <c r="J134" s="4">
        <v>244.05</v>
      </c>
      <c r="K134" s="4">
        <v>151.53</v>
      </c>
      <c r="L134" s="4" t="s">
        <v>14</v>
      </c>
      <c r="M134" s="4">
        <v>8</v>
      </c>
      <c r="N134" s="4">
        <v>5</v>
      </c>
      <c r="O134" s="4" t="s">
        <v>27</v>
      </c>
    </row>
    <row r="135" spans="1:15">
      <c r="A135" s="6" t="s">
        <v>292</v>
      </c>
      <c r="B135" s="3">
        <v>45862</v>
      </c>
      <c r="C135" s="4" t="s">
        <v>29</v>
      </c>
      <c r="D135" s="4" t="s">
        <v>24</v>
      </c>
      <c r="E135" s="4" t="s">
        <v>31</v>
      </c>
      <c r="F135" s="4" t="s">
        <v>91</v>
      </c>
      <c r="G135" s="4">
        <v>5</v>
      </c>
      <c r="H135" s="4">
        <v>66.03</v>
      </c>
      <c r="I135" s="4">
        <v>0.15</v>
      </c>
      <c r="J135" s="4">
        <v>280.63</v>
      </c>
      <c r="K135" s="4">
        <v>156.53</v>
      </c>
      <c r="L135" s="4" t="s">
        <v>40</v>
      </c>
      <c r="M135" s="4">
        <v>8</v>
      </c>
      <c r="N135" s="4">
        <v>3</v>
      </c>
      <c r="O135" s="4" t="s">
        <v>21</v>
      </c>
    </row>
    <row r="136" spans="1:15">
      <c r="A136" s="6" t="s">
        <v>393</v>
      </c>
      <c r="B136" s="3">
        <v>45948</v>
      </c>
      <c r="C136" s="4" t="s">
        <v>23</v>
      </c>
      <c r="D136" s="4" t="s">
        <v>17</v>
      </c>
      <c r="E136" s="4" t="s">
        <v>46</v>
      </c>
      <c r="F136" s="4" t="s">
        <v>49</v>
      </c>
      <c r="G136" s="4">
        <v>4</v>
      </c>
      <c r="H136" s="4">
        <v>319.77</v>
      </c>
      <c r="I136" s="4">
        <v>0.15</v>
      </c>
      <c r="J136" s="4">
        <v>1087.22</v>
      </c>
      <c r="K136" s="4">
        <v>755.84</v>
      </c>
      <c r="L136" s="4" t="s">
        <v>40</v>
      </c>
      <c r="M136" s="4">
        <v>1</v>
      </c>
      <c r="N136" s="4">
        <v>5</v>
      </c>
      <c r="O136" s="4" t="s">
        <v>21</v>
      </c>
    </row>
    <row r="137" spans="1:15">
      <c r="A137" s="6" t="s">
        <v>175</v>
      </c>
      <c r="B137" s="3">
        <v>45768</v>
      </c>
      <c r="C137" s="4" t="s">
        <v>29</v>
      </c>
      <c r="D137" s="4" t="s">
        <v>24</v>
      </c>
      <c r="E137" s="4" t="s">
        <v>35</v>
      </c>
      <c r="F137" s="4" t="s">
        <v>36</v>
      </c>
      <c r="G137" s="4">
        <v>5</v>
      </c>
      <c r="H137" s="4">
        <v>37.28</v>
      </c>
      <c r="I137" s="4">
        <v>0</v>
      </c>
      <c r="J137" s="4">
        <v>186.4</v>
      </c>
      <c r="K137" s="4">
        <v>73.08</v>
      </c>
      <c r="L137" s="4" t="s">
        <v>40</v>
      </c>
      <c r="M137" s="4">
        <v>2</v>
      </c>
      <c r="N137" s="4">
        <v>5</v>
      </c>
      <c r="O137" s="4" t="s">
        <v>21</v>
      </c>
    </row>
    <row r="138" spans="1:15">
      <c r="A138" s="6" t="s">
        <v>305</v>
      </c>
      <c r="B138" s="3">
        <v>45878</v>
      </c>
      <c r="C138" s="4" t="s">
        <v>29</v>
      </c>
      <c r="D138" s="4" t="s">
        <v>30</v>
      </c>
      <c r="E138" s="4" t="s">
        <v>31</v>
      </c>
      <c r="F138" s="4" t="s">
        <v>59</v>
      </c>
      <c r="G138" s="4">
        <v>5</v>
      </c>
      <c r="H138" s="4">
        <v>48.91</v>
      </c>
      <c r="I138" s="4">
        <v>0</v>
      </c>
      <c r="J138" s="4">
        <v>244.55</v>
      </c>
      <c r="K138" s="4">
        <v>143.16999999999999</v>
      </c>
      <c r="L138" s="4" t="s">
        <v>33</v>
      </c>
      <c r="M138" s="4"/>
      <c r="N138" s="4"/>
      <c r="O138" s="4" t="s">
        <v>21</v>
      </c>
    </row>
    <row r="139" spans="1:15">
      <c r="A139" s="6" t="s">
        <v>50</v>
      </c>
      <c r="B139" s="3">
        <v>45669</v>
      </c>
      <c r="C139" s="4" t="s">
        <v>71</v>
      </c>
      <c r="D139" s="4" t="s">
        <v>17</v>
      </c>
      <c r="E139" s="4" t="s">
        <v>18</v>
      </c>
      <c r="F139" s="4" t="s">
        <v>19</v>
      </c>
      <c r="G139" s="4">
        <v>2</v>
      </c>
      <c r="H139" s="4">
        <v>153.22</v>
      </c>
      <c r="I139" s="4">
        <v>0.2</v>
      </c>
      <c r="J139" s="4">
        <v>245.15</v>
      </c>
      <c r="K139" s="4">
        <v>154.13</v>
      </c>
      <c r="L139" s="4" t="s">
        <v>40</v>
      </c>
      <c r="M139" s="4">
        <v>2</v>
      </c>
      <c r="N139" s="4">
        <v>1</v>
      </c>
      <c r="O139" s="4" t="s">
        <v>21</v>
      </c>
    </row>
    <row r="140" spans="1:15">
      <c r="A140" s="6" t="s">
        <v>198</v>
      </c>
      <c r="B140" s="3">
        <v>45784</v>
      </c>
      <c r="C140" s="4" t="s">
        <v>16</v>
      </c>
      <c r="D140" s="4" t="s">
        <v>17</v>
      </c>
      <c r="E140" s="4" t="s">
        <v>25</v>
      </c>
      <c r="F140" s="4" t="s">
        <v>26</v>
      </c>
      <c r="G140" s="4">
        <v>5</v>
      </c>
      <c r="H140" s="4">
        <v>230.58</v>
      </c>
      <c r="I140" s="4">
        <v>0</v>
      </c>
      <c r="J140" s="4">
        <v>1152.9000000000001</v>
      </c>
      <c r="K140" s="4">
        <v>688.93</v>
      </c>
      <c r="L140" s="4" t="s">
        <v>40</v>
      </c>
      <c r="M140" s="4">
        <v>1</v>
      </c>
      <c r="N140" s="4">
        <v>3</v>
      </c>
      <c r="O140" s="4" t="s">
        <v>21</v>
      </c>
    </row>
    <row r="141" spans="1:15">
      <c r="A141" s="6" t="s">
        <v>229</v>
      </c>
      <c r="B141" s="3">
        <v>45817</v>
      </c>
      <c r="C141" s="4" t="s">
        <v>29</v>
      </c>
      <c r="D141" s="4" t="s">
        <v>24</v>
      </c>
      <c r="E141" s="4" t="s">
        <v>46</v>
      </c>
      <c r="F141" s="4" t="s">
        <v>68</v>
      </c>
      <c r="G141" s="4">
        <v>4</v>
      </c>
      <c r="H141" s="4">
        <v>97.26</v>
      </c>
      <c r="I141" s="4">
        <v>0.05</v>
      </c>
      <c r="J141" s="4">
        <v>369.59</v>
      </c>
      <c r="K141" s="4">
        <v>177.87</v>
      </c>
      <c r="L141" s="4" t="s">
        <v>33</v>
      </c>
      <c r="M141" s="4"/>
      <c r="N141" s="4"/>
      <c r="O141" s="4" t="s">
        <v>21</v>
      </c>
    </row>
    <row r="142" spans="1:15">
      <c r="A142" s="6" t="s">
        <v>461</v>
      </c>
      <c r="B142" s="3">
        <v>46016</v>
      </c>
      <c r="C142" s="4" t="s">
        <v>16</v>
      </c>
      <c r="D142" s="4" t="s">
        <v>30</v>
      </c>
      <c r="E142" s="4" t="s">
        <v>46</v>
      </c>
      <c r="F142" s="4" t="s">
        <v>49</v>
      </c>
      <c r="G142" s="4">
        <v>1</v>
      </c>
      <c r="H142" s="4">
        <v>310.02999999999997</v>
      </c>
      <c r="I142" s="4">
        <v>0</v>
      </c>
      <c r="J142" s="4">
        <v>310.02999999999997</v>
      </c>
      <c r="K142" s="4">
        <v>177.74</v>
      </c>
      <c r="L142" s="4" t="s">
        <v>40</v>
      </c>
      <c r="M142" s="4">
        <v>8</v>
      </c>
      <c r="N142" s="4">
        <v>3</v>
      </c>
      <c r="O142" s="4" t="s">
        <v>21</v>
      </c>
    </row>
    <row r="143" spans="1:15">
      <c r="A143" s="6" t="s">
        <v>139</v>
      </c>
      <c r="B143" s="3">
        <v>45736</v>
      </c>
      <c r="C143" s="4" t="s">
        <v>38</v>
      </c>
      <c r="D143" s="4" t="s">
        <v>17</v>
      </c>
      <c r="E143" s="4" t="s">
        <v>46</v>
      </c>
      <c r="F143" s="4" t="s">
        <v>68</v>
      </c>
      <c r="G143" s="4">
        <v>3</v>
      </c>
      <c r="H143" s="4">
        <v>97.55</v>
      </c>
      <c r="I143" s="4">
        <v>0.15</v>
      </c>
      <c r="J143" s="4">
        <v>248.75</v>
      </c>
      <c r="K143" s="4">
        <v>142.36000000000001</v>
      </c>
      <c r="L143" s="4" t="s">
        <v>33</v>
      </c>
      <c r="M143" s="4"/>
      <c r="N143" s="4"/>
      <c r="O143" s="4" t="s">
        <v>21</v>
      </c>
    </row>
    <row r="144" spans="1:15">
      <c r="A144" s="6" t="s">
        <v>159</v>
      </c>
      <c r="B144" s="3">
        <v>45758</v>
      </c>
      <c r="C144" s="4" t="s">
        <v>38</v>
      </c>
      <c r="D144" s="4" t="s">
        <v>17</v>
      </c>
      <c r="E144" s="4" t="s">
        <v>18</v>
      </c>
      <c r="F144" s="4" t="s">
        <v>19</v>
      </c>
      <c r="G144" s="4">
        <v>5</v>
      </c>
      <c r="H144" s="4">
        <v>136.21</v>
      </c>
      <c r="I144" s="4">
        <v>0.2</v>
      </c>
      <c r="J144" s="4">
        <v>544.84</v>
      </c>
      <c r="K144" s="4">
        <v>402.84</v>
      </c>
      <c r="L144" s="4" t="s">
        <v>40</v>
      </c>
      <c r="M144" s="4">
        <v>3</v>
      </c>
      <c r="N144" s="4">
        <v>2</v>
      </c>
      <c r="O144" s="4" t="s">
        <v>21</v>
      </c>
    </row>
    <row r="145" spans="1:15">
      <c r="A145" s="6" t="s">
        <v>218</v>
      </c>
      <c r="B145" s="3">
        <v>45807</v>
      </c>
      <c r="C145" s="4" t="s">
        <v>16</v>
      </c>
      <c r="D145" s="4" t="s">
        <v>30</v>
      </c>
      <c r="E145" s="4" t="s">
        <v>31</v>
      </c>
      <c r="F145" s="4" t="s">
        <v>59</v>
      </c>
      <c r="G145" s="4">
        <v>5</v>
      </c>
      <c r="H145" s="4">
        <v>51.21</v>
      </c>
      <c r="I145" s="4">
        <v>0</v>
      </c>
      <c r="J145" s="4">
        <v>256.05</v>
      </c>
      <c r="K145" s="4">
        <v>127.56</v>
      </c>
      <c r="L145" s="4" t="s">
        <v>40</v>
      </c>
      <c r="M145" s="4">
        <v>7</v>
      </c>
      <c r="N145" s="4">
        <v>3</v>
      </c>
      <c r="O145" s="4" t="s">
        <v>21</v>
      </c>
    </row>
    <row r="146" spans="1:15">
      <c r="A146" s="6" t="s">
        <v>465</v>
      </c>
      <c r="B146" s="3">
        <v>46020</v>
      </c>
      <c r="C146" s="4" t="s">
        <v>16</v>
      </c>
      <c r="D146" s="4" t="s">
        <v>30</v>
      </c>
      <c r="E146" s="4" t="s">
        <v>35</v>
      </c>
      <c r="F146" s="4" t="s">
        <v>36</v>
      </c>
      <c r="G146" s="4">
        <v>3</v>
      </c>
      <c r="H146" s="4">
        <v>43.75</v>
      </c>
      <c r="I146" s="4">
        <v>0</v>
      </c>
      <c r="J146" s="4">
        <v>131.25</v>
      </c>
      <c r="K146" s="4">
        <v>40.729999999999997</v>
      </c>
      <c r="L146" s="4" t="s">
        <v>20</v>
      </c>
      <c r="M146" s="4"/>
      <c r="N146" s="4"/>
      <c r="O146" s="4" t="s">
        <v>21</v>
      </c>
    </row>
    <row r="147" spans="1:15">
      <c r="A147" s="6" t="s">
        <v>413</v>
      </c>
      <c r="B147" s="3">
        <v>45969</v>
      </c>
      <c r="C147" s="4" t="s">
        <v>38</v>
      </c>
      <c r="D147" s="4" t="s">
        <v>30</v>
      </c>
      <c r="E147" s="4" t="s">
        <v>46</v>
      </c>
      <c r="F147" s="4" t="s">
        <v>47</v>
      </c>
      <c r="G147" s="4">
        <v>4</v>
      </c>
      <c r="H147" s="4">
        <v>191.88</v>
      </c>
      <c r="I147" s="4">
        <v>0.1</v>
      </c>
      <c r="J147" s="4">
        <v>690.77</v>
      </c>
      <c r="K147" s="4">
        <v>408.93</v>
      </c>
      <c r="L147" s="4" t="s">
        <v>14</v>
      </c>
      <c r="M147" s="4">
        <v>6</v>
      </c>
      <c r="N147" s="4">
        <v>1</v>
      </c>
      <c r="O147" s="4" t="s">
        <v>27</v>
      </c>
    </row>
    <row r="148" spans="1:15">
      <c r="A148" s="6" t="s">
        <v>51</v>
      </c>
      <c r="B148" s="3">
        <v>45670</v>
      </c>
      <c r="C148" s="4" t="s">
        <v>71</v>
      </c>
      <c r="D148" s="4" t="s">
        <v>17</v>
      </c>
      <c r="E148" s="4" t="s">
        <v>25</v>
      </c>
      <c r="F148" s="4" t="s">
        <v>26</v>
      </c>
      <c r="G148" s="4">
        <v>3</v>
      </c>
      <c r="H148" s="4">
        <v>259.14999999999998</v>
      </c>
      <c r="I148" s="4">
        <v>0.05</v>
      </c>
      <c r="J148" s="4">
        <v>738.58</v>
      </c>
      <c r="K148" s="4">
        <v>419.44</v>
      </c>
      <c r="L148" s="4" t="s">
        <v>40</v>
      </c>
      <c r="M148" s="4">
        <v>6</v>
      </c>
      <c r="N148" s="4">
        <v>5</v>
      </c>
      <c r="O148" s="4" t="s">
        <v>21</v>
      </c>
    </row>
    <row r="149" spans="1:15">
      <c r="A149" s="6" t="s">
        <v>145</v>
      </c>
      <c r="B149" s="3">
        <v>45743</v>
      </c>
      <c r="C149" s="4" t="s">
        <v>29</v>
      </c>
      <c r="D149" s="4" t="s">
        <v>30</v>
      </c>
      <c r="E149" s="4" t="s">
        <v>35</v>
      </c>
      <c r="F149" s="4" t="s">
        <v>55</v>
      </c>
      <c r="G149" s="4">
        <v>1</v>
      </c>
      <c r="H149" s="4">
        <v>50.35</v>
      </c>
      <c r="I149" s="4">
        <v>0</v>
      </c>
      <c r="J149" s="4">
        <v>50.35</v>
      </c>
      <c r="K149" s="4">
        <v>22.99</v>
      </c>
      <c r="L149" s="4" t="s">
        <v>40</v>
      </c>
      <c r="M149" s="4">
        <v>7</v>
      </c>
      <c r="N149" s="4">
        <v>4</v>
      </c>
      <c r="O149" s="4" t="s">
        <v>21</v>
      </c>
    </row>
    <row r="150" spans="1:15">
      <c r="A150" s="6" t="s">
        <v>400</v>
      </c>
      <c r="B150" s="3">
        <v>45957</v>
      </c>
      <c r="C150" s="4" t="s">
        <v>23</v>
      </c>
      <c r="D150" s="4" t="s">
        <v>30</v>
      </c>
      <c r="E150" s="4" t="s">
        <v>46</v>
      </c>
      <c r="F150" s="4" t="s">
        <v>47</v>
      </c>
      <c r="G150" s="4">
        <v>1</v>
      </c>
      <c r="H150" s="4">
        <v>197.13</v>
      </c>
      <c r="I150" s="4">
        <v>0</v>
      </c>
      <c r="J150" s="4">
        <v>197.13</v>
      </c>
      <c r="K150" s="4">
        <v>90.72</v>
      </c>
      <c r="L150" s="4" t="s">
        <v>40</v>
      </c>
      <c r="M150" s="4">
        <v>5</v>
      </c>
      <c r="N150" s="4">
        <v>1</v>
      </c>
      <c r="O150" s="4" t="s">
        <v>21</v>
      </c>
    </row>
    <row r="151" spans="1:15">
      <c r="A151" s="6" t="s">
        <v>61</v>
      </c>
      <c r="B151" s="3">
        <v>45679</v>
      </c>
      <c r="C151" s="4" t="s">
        <v>16</v>
      </c>
      <c r="D151" s="4" t="s">
        <v>24</v>
      </c>
      <c r="E151" s="4" t="s">
        <v>46</v>
      </c>
      <c r="F151" s="4" t="s">
        <v>47</v>
      </c>
      <c r="G151" s="4">
        <v>2</v>
      </c>
      <c r="H151" s="4">
        <v>169.02</v>
      </c>
      <c r="I151" s="4">
        <v>0</v>
      </c>
      <c r="J151" s="4">
        <v>338.04</v>
      </c>
      <c r="K151" s="4">
        <v>192.08</v>
      </c>
      <c r="L151" s="4" t="s">
        <v>40</v>
      </c>
      <c r="M151" s="4">
        <v>6</v>
      </c>
      <c r="N151" s="4">
        <v>4</v>
      </c>
      <c r="O151" s="4" t="s">
        <v>21</v>
      </c>
    </row>
    <row r="152" spans="1:15">
      <c r="A152" s="6" t="s">
        <v>415</v>
      </c>
      <c r="B152" s="3">
        <v>45970</v>
      </c>
      <c r="C152" s="4" t="s">
        <v>23</v>
      </c>
      <c r="D152" s="4" t="s">
        <v>17</v>
      </c>
      <c r="E152" s="4" t="s">
        <v>46</v>
      </c>
      <c r="F152" s="4" t="s">
        <v>49</v>
      </c>
      <c r="G152" s="4">
        <v>5</v>
      </c>
      <c r="H152" s="4">
        <v>343.3</v>
      </c>
      <c r="I152" s="4">
        <v>0.1</v>
      </c>
      <c r="J152" s="4">
        <v>1544.85</v>
      </c>
      <c r="K152" s="4">
        <v>1018.22</v>
      </c>
      <c r="L152" s="4" t="s">
        <v>40</v>
      </c>
      <c r="M152" s="4">
        <v>3</v>
      </c>
      <c r="N152" s="4">
        <v>3</v>
      </c>
      <c r="O152" s="4" t="s">
        <v>21</v>
      </c>
    </row>
    <row r="153" spans="1:15">
      <c r="A153" s="6" t="s">
        <v>164</v>
      </c>
      <c r="B153" s="3">
        <v>45760</v>
      </c>
      <c r="C153" s="4" t="s">
        <v>16</v>
      </c>
      <c r="D153" s="4" t="s">
        <v>24</v>
      </c>
      <c r="E153" s="4" t="s">
        <v>31</v>
      </c>
      <c r="F153" s="4" t="s">
        <v>32</v>
      </c>
      <c r="G153" s="4">
        <v>5</v>
      </c>
      <c r="H153" s="4">
        <v>35.28</v>
      </c>
      <c r="I153" s="4">
        <v>0.1</v>
      </c>
      <c r="J153" s="4">
        <v>158.76</v>
      </c>
      <c r="K153" s="4">
        <v>80.69</v>
      </c>
      <c r="L153" s="4" t="s">
        <v>40</v>
      </c>
      <c r="M153" s="4">
        <v>2</v>
      </c>
      <c r="N153" s="4">
        <v>4</v>
      </c>
      <c r="O153" s="4" t="s">
        <v>21</v>
      </c>
    </row>
    <row r="154" spans="1:15">
      <c r="A154" s="6" t="s">
        <v>435</v>
      </c>
      <c r="B154" s="3">
        <v>45992</v>
      </c>
      <c r="C154" s="4" t="s">
        <v>38</v>
      </c>
      <c r="D154" s="4" t="s">
        <v>24</v>
      </c>
      <c r="E154" s="4" t="s">
        <v>18</v>
      </c>
      <c r="F154" s="4" t="s">
        <v>57</v>
      </c>
      <c r="G154" s="4">
        <v>2</v>
      </c>
      <c r="H154" s="4">
        <v>42.02</v>
      </c>
      <c r="I154" s="4">
        <v>0.1</v>
      </c>
      <c r="J154" s="4">
        <v>75.64</v>
      </c>
      <c r="K154" s="4">
        <v>38.520000000000003</v>
      </c>
      <c r="L154" s="4" t="s">
        <v>20</v>
      </c>
      <c r="M154" s="4"/>
      <c r="N154" s="4"/>
      <c r="O154" s="4" t="s">
        <v>21</v>
      </c>
    </row>
    <row r="155" spans="1:15">
      <c r="A155" s="6" t="s">
        <v>170</v>
      </c>
      <c r="B155" s="3">
        <v>45765</v>
      </c>
      <c r="C155" s="4" t="s">
        <v>23</v>
      </c>
      <c r="D155" s="4" t="s">
        <v>17</v>
      </c>
      <c r="E155" s="4" t="s">
        <v>18</v>
      </c>
      <c r="F155" s="4" t="s">
        <v>80</v>
      </c>
      <c r="G155" s="4">
        <v>1</v>
      </c>
      <c r="H155" s="4">
        <v>131.88</v>
      </c>
      <c r="I155" s="4">
        <v>0.05</v>
      </c>
      <c r="J155" s="4">
        <v>125.29</v>
      </c>
      <c r="K155" s="4">
        <v>54.88</v>
      </c>
      <c r="L155" s="4" t="s">
        <v>40</v>
      </c>
      <c r="M155" s="4">
        <v>8</v>
      </c>
      <c r="N155" s="4">
        <v>1</v>
      </c>
      <c r="O155" s="4" t="s">
        <v>21</v>
      </c>
    </row>
    <row r="156" spans="1:15">
      <c r="A156" s="6" t="s">
        <v>226</v>
      </c>
      <c r="B156" s="3">
        <v>45816</v>
      </c>
      <c r="C156" s="4" t="s">
        <v>29</v>
      </c>
      <c r="D156" s="4" t="s">
        <v>17</v>
      </c>
      <c r="E156" s="4" t="s">
        <v>25</v>
      </c>
      <c r="F156" s="4" t="s">
        <v>26</v>
      </c>
      <c r="G156" s="4">
        <v>2</v>
      </c>
      <c r="H156" s="4">
        <v>218.44</v>
      </c>
      <c r="I156" s="4">
        <v>0.1</v>
      </c>
      <c r="J156" s="4">
        <v>393.19</v>
      </c>
      <c r="K156" s="4">
        <v>280.02999999999997</v>
      </c>
      <c r="L156" s="4" t="s">
        <v>40</v>
      </c>
      <c r="M156" s="4">
        <v>4</v>
      </c>
      <c r="N156" s="4">
        <v>4</v>
      </c>
      <c r="O156" s="4" t="s">
        <v>21</v>
      </c>
    </row>
    <row r="157" spans="1:15">
      <c r="A157" s="6" t="s">
        <v>324</v>
      </c>
      <c r="B157" s="3">
        <v>45899</v>
      </c>
      <c r="C157" s="4" t="s">
        <v>29</v>
      </c>
      <c r="D157" s="4" t="s">
        <v>24</v>
      </c>
      <c r="E157" s="4" t="s">
        <v>31</v>
      </c>
      <c r="F157" s="4" t="s">
        <v>91</v>
      </c>
      <c r="G157" s="4">
        <v>4</v>
      </c>
      <c r="H157" s="4">
        <v>64.069999999999993</v>
      </c>
      <c r="I157" s="4">
        <v>0.1</v>
      </c>
      <c r="J157" s="4">
        <v>230.65</v>
      </c>
      <c r="K157" s="4">
        <v>139</v>
      </c>
      <c r="L157" s="4" t="s">
        <v>33</v>
      </c>
      <c r="M157" s="4"/>
      <c r="N157" s="4"/>
      <c r="O157" s="4" t="s">
        <v>21</v>
      </c>
    </row>
    <row r="158" spans="1:15">
      <c r="A158" s="6" t="s">
        <v>101</v>
      </c>
      <c r="B158" s="3">
        <v>45704</v>
      </c>
      <c r="C158" s="4" t="s">
        <v>16</v>
      </c>
      <c r="D158" s="4" t="s">
        <v>24</v>
      </c>
      <c r="E158" s="4" t="s">
        <v>35</v>
      </c>
      <c r="F158" s="4" t="s">
        <v>55</v>
      </c>
      <c r="G158" s="4">
        <v>4</v>
      </c>
      <c r="H158" s="4">
        <v>60.07</v>
      </c>
      <c r="I158" s="4">
        <v>0.1</v>
      </c>
      <c r="J158" s="4">
        <v>216.25</v>
      </c>
      <c r="K158" s="4">
        <v>86.18</v>
      </c>
      <c r="L158" s="4" t="s">
        <v>33</v>
      </c>
      <c r="M158" s="4"/>
      <c r="N158" s="4"/>
      <c r="O158" s="4" t="s">
        <v>21</v>
      </c>
    </row>
    <row r="159" spans="1:15">
      <c r="A159" s="6" t="s">
        <v>291</v>
      </c>
      <c r="B159" s="3">
        <v>45861</v>
      </c>
      <c r="C159" s="4" t="s">
        <v>16</v>
      </c>
      <c r="D159" s="4" t="s">
        <v>24</v>
      </c>
      <c r="E159" s="4" t="s">
        <v>25</v>
      </c>
      <c r="F159" s="4" t="s">
        <v>89</v>
      </c>
      <c r="G159" s="4">
        <v>3</v>
      </c>
      <c r="H159" s="4">
        <v>115.39</v>
      </c>
      <c r="I159" s="4">
        <v>0</v>
      </c>
      <c r="J159" s="4">
        <v>346.17</v>
      </c>
      <c r="K159" s="4">
        <v>146.79</v>
      </c>
      <c r="L159" s="4" t="s">
        <v>40</v>
      </c>
      <c r="M159" s="4">
        <v>1</v>
      </c>
      <c r="N159" s="4">
        <v>4</v>
      </c>
      <c r="O159" s="4" t="s">
        <v>21</v>
      </c>
    </row>
    <row r="160" spans="1:15">
      <c r="A160" s="6" t="s">
        <v>271</v>
      </c>
      <c r="B160" s="3">
        <v>45842</v>
      </c>
      <c r="C160" s="4" t="s">
        <v>16</v>
      </c>
      <c r="D160" s="4" t="s">
        <v>24</v>
      </c>
      <c r="E160" s="4" t="s">
        <v>31</v>
      </c>
      <c r="F160" s="4" t="s">
        <v>59</v>
      </c>
      <c r="G160" s="4">
        <v>2</v>
      </c>
      <c r="H160" s="4">
        <v>52.38</v>
      </c>
      <c r="I160" s="4">
        <v>0</v>
      </c>
      <c r="J160" s="4">
        <v>104.76</v>
      </c>
      <c r="K160" s="4">
        <v>51.01</v>
      </c>
      <c r="L160" s="4" t="s">
        <v>40</v>
      </c>
      <c r="M160" s="4">
        <v>2</v>
      </c>
      <c r="N160" s="4">
        <v>1</v>
      </c>
      <c r="O160" s="4" t="s">
        <v>21</v>
      </c>
    </row>
    <row r="161" spans="1:15">
      <c r="A161" s="6" t="s">
        <v>386</v>
      </c>
      <c r="B161" s="3">
        <v>45944</v>
      </c>
      <c r="C161" s="4" t="s">
        <v>29</v>
      </c>
      <c r="D161" s="4" t="s">
        <v>17</v>
      </c>
      <c r="E161" s="4" t="s">
        <v>25</v>
      </c>
      <c r="F161" s="4" t="s">
        <v>63</v>
      </c>
      <c r="G161" s="4">
        <v>1</v>
      </c>
      <c r="H161" s="4">
        <v>48.58</v>
      </c>
      <c r="I161" s="4">
        <v>0</v>
      </c>
      <c r="J161" s="4">
        <v>48.58</v>
      </c>
      <c r="K161" s="4">
        <v>19.93</v>
      </c>
      <c r="L161" s="4" t="s">
        <v>33</v>
      </c>
      <c r="M161" s="4"/>
      <c r="N161" s="4"/>
      <c r="O161" s="4" t="s">
        <v>21</v>
      </c>
    </row>
    <row r="162" spans="1:15">
      <c r="A162" s="6" t="s">
        <v>466</v>
      </c>
      <c r="B162" s="3">
        <v>46021</v>
      </c>
      <c r="C162" s="4" t="s">
        <v>16</v>
      </c>
      <c r="D162" s="4" t="s">
        <v>24</v>
      </c>
      <c r="E162" s="4" t="s">
        <v>35</v>
      </c>
      <c r="F162" s="4" t="s">
        <v>55</v>
      </c>
      <c r="G162" s="4">
        <v>1</v>
      </c>
      <c r="H162" s="4">
        <v>57.26</v>
      </c>
      <c r="I162" s="4">
        <v>0.1</v>
      </c>
      <c r="J162" s="4">
        <v>51.53</v>
      </c>
      <c r="K162" s="4">
        <v>20.49</v>
      </c>
      <c r="L162" s="4" t="s">
        <v>40</v>
      </c>
      <c r="M162" s="4">
        <v>4</v>
      </c>
      <c r="N162" s="4">
        <v>1</v>
      </c>
      <c r="O162" s="4" t="s">
        <v>21</v>
      </c>
    </row>
    <row r="163" spans="1:15">
      <c r="A163" s="6" t="s">
        <v>327</v>
      </c>
      <c r="B163" s="3">
        <v>45900</v>
      </c>
      <c r="C163" s="4" t="s">
        <v>38</v>
      </c>
      <c r="D163" s="4" t="s">
        <v>17</v>
      </c>
      <c r="E163" s="4" t="s">
        <v>18</v>
      </c>
      <c r="F163" s="4" t="s">
        <v>57</v>
      </c>
      <c r="G163" s="4">
        <v>3</v>
      </c>
      <c r="H163" s="4">
        <v>43.75</v>
      </c>
      <c r="I163" s="4">
        <v>0</v>
      </c>
      <c r="J163" s="4">
        <v>131.25</v>
      </c>
      <c r="K163" s="4">
        <v>51.2</v>
      </c>
      <c r="L163" s="4" t="s">
        <v>20</v>
      </c>
      <c r="M163" s="4"/>
      <c r="N163" s="4"/>
      <c r="O163" s="4" t="s">
        <v>21</v>
      </c>
    </row>
    <row r="164" spans="1:15">
      <c r="A164" s="6" t="s">
        <v>215</v>
      </c>
      <c r="B164" s="3">
        <v>45807</v>
      </c>
      <c r="C164" s="4" t="s">
        <v>29</v>
      </c>
      <c r="D164" s="4" t="s">
        <v>17</v>
      </c>
      <c r="E164" s="4" t="s">
        <v>35</v>
      </c>
      <c r="F164" s="4" t="s">
        <v>36</v>
      </c>
      <c r="G164" s="4">
        <v>4</v>
      </c>
      <c r="H164" s="4">
        <v>38.18</v>
      </c>
      <c r="I164" s="4">
        <v>0</v>
      </c>
      <c r="J164" s="4">
        <v>152.72</v>
      </c>
      <c r="K164" s="4">
        <v>52.69</v>
      </c>
      <c r="L164" s="4" t="s">
        <v>40</v>
      </c>
      <c r="M164" s="4">
        <v>4</v>
      </c>
      <c r="N164" s="4">
        <v>5</v>
      </c>
      <c r="O164" s="4" t="s">
        <v>21</v>
      </c>
    </row>
    <row r="165" spans="1:15">
      <c r="A165" s="6" t="s">
        <v>214</v>
      </c>
      <c r="B165" s="3">
        <v>45806</v>
      </c>
      <c r="C165" s="4" t="s">
        <v>16</v>
      </c>
      <c r="D165" s="4" t="s">
        <v>24</v>
      </c>
      <c r="E165" s="4" t="s">
        <v>25</v>
      </c>
      <c r="F165" s="4" t="s">
        <v>26</v>
      </c>
      <c r="G165" s="4">
        <v>1</v>
      </c>
      <c r="H165" s="4">
        <v>246.86</v>
      </c>
      <c r="I165" s="4">
        <v>0.05</v>
      </c>
      <c r="J165" s="4">
        <v>234.52</v>
      </c>
      <c r="K165" s="4">
        <v>137.63999999999999</v>
      </c>
      <c r="L165" s="4" t="s">
        <v>14</v>
      </c>
      <c r="M165" s="4">
        <v>4</v>
      </c>
      <c r="N165" s="4">
        <v>5</v>
      </c>
      <c r="O165" s="4" t="s">
        <v>27</v>
      </c>
    </row>
    <row r="166" spans="1:15">
      <c r="A166" s="6" t="s">
        <v>221</v>
      </c>
      <c r="B166" s="3">
        <v>45810</v>
      </c>
      <c r="C166" s="4" t="s">
        <v>29</v>
      </c>
      <c r="D166" s="4" t="s">
        <v>17</v>
      </c>
      <c r="E166" s="4" t="s">
        <v>31</v>
      </c>
      <c r="F166" s="4" t="s">
        <v>32</v>
      </c>
      <c r="G166" s="4">
        <v>4</v>
      </c>
      <c r="H166" s="4">
        <v>32.07</v>
      </c>
      <c r="I166" s="4">
        <v>0.05</v>
      </c>
      <c r="J166" s="4">
        <v>121.87</v>
      </c>
      <c r="K166" s="4">
        <v>62.73</v>
      </c>
      <c r="L166" s="4" t="s">
        <v>33</v>
      </c>
      <c r="M166" s="4"/>
      <c r="N166" s="4"/>
      <c r="O166" s="4" t="s">
        <v>21</v>
      </c>
    </row>
    <row r="167" spans="1:15">
      <c r="A167" s="6" t="s">
        <v>399</v>
      </c>
      <c r="B167" s="3">
        <v>45955</v>
      </c>
      <c r="C167" s="4" t="s">
        <v>16</v>
      </c>
      <c r="D167" s="4" t="s">
        <v>30</v>
      </c>
      <c r="E167" s="4" t="s">
        <v>18</v>
      </c>
      <c r="F167" s="4" t="s">
        <v>19</v>
      </c>
      <c r="G167" s="4">
        <v>4</v>
      </c>
      <c r="H167" s="4">
        <v>138.26</v>
      </c>
      <c r="I167" s="4">
        <v>0.15</v>
      </c>
      <c r="J167" s="4">
        <v>470.08</v>
      </c>
      <c r="K167" s="4">
        <v>298.27999999999997</v>
      </c>
      <c r="L167" s="4" t="s">
        <v>40</v>
      </c>
      <c r="M167" s="4">
        <v>7</v>
      </c>
      <c r="N167" s="4">
        <v>5</v>
      </c>
      <c r="O167" s="4" t="s">
        <v>21</v>
      </c>
    </row>
    <row r="168" spans="1:15">
      <c r="A168" s="6" t="s">
        <v>188</v>
      </c>
      <c r="B168" s="3">
        <v>45775</v>
      </c>
      <c r="C168" s="4" t="s">
        <v>29</v>
      </c>
      <c r="D168" s="4" t="s">
        <v>17</v>
      </c>
      <c r="E168" s="4" t="s">
        <v>31</v>
      </c>
      <c r="F168" s="4" t="s">
        <v>91</v>
      </c>
      <c r="G168" s="4">
        <v>5</v>
      </c>
      <c r="H168" s="4">
        <v>63.72</v>
      </c>
      <c r="I168" s="4">
        <v>0</v>
      </c>
      <c r="J168" s="4">
        <v>318.60000000000002</v>
      </c>
      <c r="K168" s="4">
        <v>163.69</v>
      </c>
      <c r="L168" s="4" t="s">
        <v>20</v>
      </c>
      <c r="M168" s="4"/>
      <c r="N168" s="4"/>
      <c r="O168" s="4" t="s">
        <v>21</v>
      </c>
    </row>
    <row r="169" spans="1:15">
      <c r="A169" s="6" t="s">
        <v>119</v>
      </c>
      <c r="B169" s="3">
        <v>45718</v>
      </c>
      <c r="C169" s="4" t="s">
        <v>38</v>
      </c>
      <c r="D169" s="4" t="s">
        <v>17</v>
      </c>
      <c r="E169" s="4" t="s">
        <v>18</v>
      </c>
      <c r="F169" s="4" t="s">
        <v>19</v>
      </c>
      <c r="G169" s="4">
        <v>4</v>
      </c>
      <c r="H169" s="4">
        <v>140.86000000000001</v>
      </c>
      <c r="I169" s="4">
        <v>0</v>
      </c>
      <c r="J169" s="4">
        <v>563.44000000000005</v>
      </c>
      <c r="K169" s="4">
        <v>289.93</v>
      </c>
      <c r="L169" s="4" t="s">
        <v>40</v>
      </c>
      <c r="M169" s="4">
        <v>1</v>
      </c>
      <c r="N169" s="4">
        <v>5</v>
      </c>
      <c r="O169" s="4" t="s">
        <v>21</v>
      </c>
    </row>
    <row r="170" spans="1:15">
      <c r="A170" s="6" t="s">
        <v>193</v>
      </c>
      <c r="B170" s="3">
        <v>45780</v>
      </c>
      <c r="C170" s="4" t="s">
        <v>71</v>
      </c>
      <c r="D170" s="4" t="s">
        <v>24</v>
      </c>
      <c r="E170" s="4" t="s">
        <v>25</v>
      </c>
      <c r="F170" s="4" t="s">
        <v>63</v>
      </c>
      <c r="G170" s="4">
        <v>1</v>
      </c>
      <c r="H170" s="4">
        <v>53.12</v>
      </c>
      <c r="I170" s="4">
        <v>0</v>
      </c>
      <c r="J170" s="4">
        <v>53.12</v>
      </c>
      <c r="K170" s="4">
        <v>19.25</v>
      </c>
      <c r="L170" s="4" t="s">
        <v>14</v>
      </c>
      <c r="M170" s="4">
        <v>8</v>
      </c>
      <c r="N170" s="4">
        <v>5</v>
      </c>
      <c r="O170" s="4" t="s">
        <v>27</v>
      </c>
    </row>
    <row r="171" spans="1:15">
      <c r="A171" s="6" t="s">
        <v>44</v>
      </c>
      <c r="B171" s="3">
        <v>45666</v>
      </c>
      <c r="C171" s="4" t="s">
        <v>16</v>
      </c>
      <c r="D171" s="4" t="s">
        <v>17</v>
      </c>
      <c r="E171" s="4" t="s">
        <v>35</v>
      </c>
      <c r="F171" s="4" t="s">
        <v>36</v>
      </c>
      <c r="G171" s="4">
        <v>5</v>
      </c>
      <c r="H171" s="4">
        <v>38.119999999999997</v>
      </c>
      <c r="I171" s="4">
        <v>0.2</v>
      </c>
      <c r="J171" s="4">
        <v>152.47999999999999</v>
      </c>
      <c r="K171" s="4">
        <v>69.22</v>
      </c>
      <c r="L171" s="4" t="s">
        <v>40</v>
      </c>
      <c r="M171" s="4">
        <v>7</v>
      </c>
      <c r="N171" s="4">
        <v>4</v>
      </c>
      <c r="O171" s="4" t="s">
        <v>21</v>
      </c>
    </row>
    <row r="172" spans="1:15">
      <c r="A172" s="6" t="s">
        <v>88</v>
      </c>
      <c r="B172" s="3">
        <v>45696</v>
      </c>
      <c r="C172" s="4" t="s">
        <v>16</v>
      </c>
      <c r="D172" s="4" t="s">
        <v>17</v>
      </c>
      <c r="E172" s="4" t="s">
        <v>25</v>
      </c>
      <c r="F172" s="4" t="s">
        <v>89</v>
      </c>
      <c r="G172" s="4">
        <v>2</v>
      </c>
      <c r="H172" s="4">
        <v>103.69</v>
      </c>
      <c r="I172" s="4">
        <v>0.15</v>
      </c>
      <c r="J172" s="4">
        <v>176.27</v>
      </c>
      <c r="K172" s="4">
        <v>95.75</v>
      </c>
      <c r="L172" s="4" t="s">
        <v>33</v>
      </c>
      <c r="M172" s="4"/>
      <c r="N172" s="4"/>
      <c r="O172" s="4" t="s">
        <v>21</v>
      </c>
    </row>
    <row r="173" spans="1:15">
      <c r="A173" s="6" t="s">
        <v>76</v>
      </c>
      <c r="B173" s="3">
        <v>45690</v>
      </c>
      <c r="C173" s="4" t="s">
        <v>29</v>
      </c>
      <c r="D173" s="4" t="s">
        <v>17</v>
      </c>
      <c r="E173" s="4" t="s">
        <v>46</v>
      </c>
      <c r="F173" s="4" t="s">
        <v>49</v>
      </c>
      <c r="G173" s="4">
        <v>5</v>
      </c>
      <c r="H173" s="4">
        <v>293.7</v>
      </c>
      <c r="I173" s="4">
        <v>0.15</v>
      </c>
      <c r="J173" s="4">
        <v>1248.22</v>
      </c>
      <c r="K173" s="4">
        <v>934.08</v>
      </c>
      <c r="L173" s="4" t="s">
        <v>40</v>
      </c>
      <c r="M173" s="4">
        <v>2</v>
      </c>
      <c r="N173" s="4">
        <v>1</v>
      </c>
      <c r="O173" s="4" t="s">
        <v>21</v>
      </c>
    </row>
    <row r="174" spans="1:15">
      <c r="A174" s="6" t="s">
        <v>376</v>
      </c>
      <c r="B174" s="3">
        <v>45939</v>
      </c>
      <c r="C174" s="4" t="s">
        <v>29</v>
      </c>
      <c r="D174" s="4" t="s">
        <v>17</v>
      </c>
      <c r="E174" s="4" t="s">
        <v>46</v>
      </c>
      <c r="F174" s="4" t="s">
        <v>49</v>
      </c>
      <c r="G174" s="4">
        <v>3</v>
      </c>
      <c r="H174" s="4">
        <v>343.16</v>
      </c>
      <c r="I174" s="4">
        <v>0.05</v>
      </c>
      <c r="J174" s="4">
        <v>978.01</v>
      </c>
      <c r="K174" s="4">
        <v>582.97</v>
      </c>
      <c r="L174" s="4" t="s">
        <v>20</v>
      </c>
      <c r="M174" s="4"/>
      <c r="N174" s="4"/>
      <c r="O174" s="4" t="s">
        <v>21</v>
      </c>
    </row>
    <row r="175" spans="1:15">
      <c r="A175" s="6" t="s">
        <v>354</v>
      </c>
      <c r="B175" s="3">
        <v>45921</v>
      </c>
      <c r="C175" s="4" t="s">
        <v>29</v>
      </c>
      <c r="D175" s="4" t="s">
        <v>17</v>
      </c>
      <c r="E175" s="4" t="s">
        <v>35</v>
      </c>
      <c r="F175" s="4" t="s">
        <v>36</v>
      </c>
      <c r="G175" s="4">
        <v>2</v>
      </c>
      <c r="H175" s="4">
        <v>41.84</v>
      </c>
      <c r="I175" s="4">
        <v>0</v>
      </c>
      <c r="J175" s="4">
        <v>83.68</v>
      </c>
      <c r="K175" s="4">
        <v>29.14</v>
      </c>
      <c r="L175" s="4" t="s">
        <v>14</v>
      </c>
      <c r="M175" s="4">
        <v>2</v>
      </c>
      <c r="N175" s="4">
        <v>2</v>
      </c>
      <c r="O175" s="4" t="s">
        <v>27</v>
      </c>
    </row>
    <row r="176" spans="1:15">
      <c r="A176" s="6" t="s">
        <v>343</v>
      </c>
      <c r="B176" s="3">
        <v>45912</v>
      </c>
      <c r="C176" s="4" t="s">
        <v>29</v>
      </c>
      <c r="D176" s="4" t="s">
        <v>17</v>
      </c>
      <c r="E176" s="4" t="s">
        <v>46</v>
      </c>
      <c r="F176" s="4" t="s">
        <v>49</v>
      </c>
      <c r="G176" s="4">
        <v>3</v>
      </c>
      <c r="H176" s="4">
        <v>338.95</v>
      </c>
      <c r="I176" s="4">
        <v>0</v>
      </c>
      <c r="J176" s="4">
        <v>1016.85</v>
      </c>
      <c r="K176" s="4">
        <v>607.16999999999996</v>
      </c>
      <c r="L176" s="4" t="s">
        <v>40</v>
      </c>
      <c r="M176" s="4">
        <v>7</v>
      </c>
      <c r="N176" s="4">
        <v>1</v>
      </c>
      <c r="O176" s="4" t="s">
        <v>21</v>
      </c>
    </row>
    <row r="177" spans="1:15">
      <c r="A177" s="6" t="s">
        <v>246</v>
      </c>
      <c r="B177" s="3">
        <v>45826</v>
      </c>
      <c r="C177" s="4" t="s">
        <v>23</v>
      </c>
      <c r="D177" s="4" t="s">
        <v>17</v>
      </c>
      <c r="E177" s="4" t="s">
        <v>46</v>
      </c>
      <c r="F177" s="4" t="s">
        <v>47</v>
      </c>
      <c r="G177" s="4">
        <v>1</v>
      </c>
      <c r="H177" s="4">
        <v>170.09</v>
      </c>
      <c r="I177" s="4">
        <v>0.05</v>
      </c>
      <c r="J177" s="4">
        <v>161.59</v>
      </c>
      <c r="K177" s="4">
        <v>100.27</v>
      </c>
      <c r="L177" s="4" t="s">
        <v>14</v>
      </c>
      <c r="M177" s="4">
        <v>1</v>
      </c>
      <c r="N177" s="4">
        <v>1</v>
      </c>
      <c r="O177" s="4" t="s">
        <v>27</v>
      </c>
    </row>
    <row r="178" spans="1:15">
      <c r="A178" s="6" t="s">
        <v>351</v>
      </c>
      <c r="B178" s="3">
        <v>45919</v>
      </c>
      <c r="C178" s="4" t="s">
        <v>38</v>
      </c>
      <c r="D178" s="4" t="s">
        <v>17</v>
      </c>
      <c r="E178" s="4" t="s">
        <v>25</v>
      </c>
      <c r="F178" s="4" t="s">
        <v>89</v>
      </c>
      <c r="G178" s="4">
        <v>4</v>
      </c>
      <c r="H178" s="4">
        <v>119.18</v>
      </c>
      <c r="I178" s="4">
        <v>0</v>
      </c>
      <c r="J178" s="4">
        <v>476.72</v>
      </c>
      <c r="K178" s="4">
        <v>219.68</v>
      </c>
      <c r="L178" s="4" t="s">
        <v>40</v>
      </c>
      <c r="M178" s="4">
        <v>7</v>
      </c>
      <c r="N178" s="4">
        <v>5</v>
      </c>
      <c r="O178" s="4" t="s">
        <v>21</v>
      </c>
    </row>
    <row r="179" spans="1:15">
      <c r="A179" s="6" t="s">
        <v>117</v>
      </c>
      <c r="B179" s="3">
        <v>45716</v>
      </c>
      <c r="C179" s="4" t="s">
        <v>38</v>
      </c>
      <c r="D179" s="4" t="s">
        <v>24</v>
      </c>
      <c r="E179" s="4" t="s">
        <v>35</v>
      </c>
      <c r="F179" s="4" t="s">
        <v>36</v>
      </c>
      <c r="G179" s="4">
        <v>1</v>
      </c>
      <c r="H179" s="4">
        <v>37.03</v>
      </c>
      <c r="I179" s="4">
        <v>0.1</v>
      </c>
      <c r="J179" s="4">
        <v>33.33</v>
      </c>
      <c r="K179" s="4">
        <v>14.63</v>
      </c>
      <c r="L179" s="4" t="s">
        <v>33</v>
      </c>
      <c r="M179" s="4"/>
      <c r="N179" s="4"/>
      <c r="O179" s="4" t="s">
        <v>21</v>
      </c>
    </row>
    <row r="180" spans="1:15">
      <c r="A180" s="6" t="s">
        <v>429</v>
      </c>
      <c r="B180" s="3">
        <v>45986</v>
      </c>
      <c r="C180" s="4" t="s">
        <v>29</v>
      </c>
      <c r="D180" s="4" t="s">
        <v>17</v>
      </c>
      <c r="E180" s="4" t="s">
        <v>18</v>
      </c>
      <c r="F180" s="4" t="s">
        <v>80</v>
      </c>
      <c r="G180" s="4">
        <v>5</v>
      </c>
      <c r="H180" s="4">
        <v>125.87</v>
      </c>
      <c r="I180" s="4">
        <v>0.05</v>
      </c>
      <c r="J180" s="4">
        <v>597.88</v>
      </c>
      <c r="K180" s="4">
        <v>289.10000000000002</v>
      </c>
      <c r="L180" s="4" t="s">
        <v>40</v>
      </c>
      <c r="M180" s="4">
        <v>6</v>
      </c>
      <c r="N180" s="4">
        <v>5</v>
      </c>
      <c r="O180" s="4" t="s">
        <v>21</v>
      </c>
    </row>
    <row r="181" spans="1:15">
      <c r="A181" s="6" t="s">
        <v>268</v>
      </c>
      <c r="B181" s="3">
        <v>45840</v>
      </c>
      <c r="C181" s="4" t="s">
        <v>38</v>
      </c>
      <c r="D181" s="4" t="s">
        <v>17</v>
      </c>
      <c r="E181" s="4" t="s">
        <v>18</v>
      </c>
      <c r="F181" s="4" t="s">
        <v>80</v>
      </c>
      <c r="G181" s="4">
        <v>4</v>
      </c>
      <c r="H181" s="4">
        <v>117.48</v>
      </c>
      <c r="I181" s="4">
        <v>0.1</v>
      </c>
      <c r="J181" s="4">
        <v>422.93</v>
      </c>
      <c r="K181" s="4">
        <v>230.1</v>
      </c>
      <c r="L181" s="4" t="s">
        <v>40</v>
      </c>
      <c r="M181" s="4">
        <v>7</v>
      </c>
      <c r="N181" s="4">
        <v>4</v>
      </c>
      <c r="O181" s="4" t="s">
        <v>21</v>
      </c>
    </row>
    <row r="182" spans="1:15">
      <c r="A182" s="6" t="s">
        <v>444</v>
      </c>
      <c r="B182" s="3">
        <v>46000</v>
      </c>
      <c r="C182" s="4" t="s">
        <v>29</v>
      </c>
      <c r="D182" s="4" t="s">
        <v>30</v>
      </c>
      <c r="E182" s="4" t="s">
        <v>25</v>
      </c>
      <c r="F182" s="4" t="s">
        <v>26</v>
      </c>
      <c r="G182" s="4">
        <v>3</v>
      </c>
      <c r="H182" s="4">
        <v>254.17</v>
      </c>
      <c r="I182" s="4">
        <v>0</v>
      </c>
      <c r="J182" s="4">
        <v>762.51</v>
      </c>
      <c r="K182" s="4">
        <v>418.74</v>
      </c>
      <c r="L182" s="4" t="s">
        <v>40</v>
      </c>
      <c r="M182" s="4">
        <v>6</v>
      </c>
      <c r="N182" s="4">
        <v>2</v>
      </c>
      <c r="O182" s="4" t="s">
        <v>21</v>
      </c>
    </row>
    <row r="183" spans="1:15">
      <c r="A183" s="6" t="s">
        <v>114</v>
      </c>
      <c r="B183" s="3">
        <v>45713</v>
      </c>
      <c r="C183" s="4" t="s">
        <v>16</v>
      </c>
      <c r="D183" s="4" t="s">
        <v>17</v>
      </c>
      <c r="E183" s="4" t="s">
        <v>25</v>
      </c>
      <c r="F183" s="4" t="s">
        <v>89</v>
      </c>
      <c r="G183" s="4">
        <v>4</v>
      </c>
      <c r="H183" s="4">
        <v>101.06</v>
      </c>
      <c r="I183" s="4">
        <v>0.2</v>
      </c>
      <c r="J183" s="4">
        <v>323.39</v>
      </c>
      <c r="K183" s="4">
        <v>205.08</v>
      </c>
      <c r="L183" s="4" t="s">
        <v>40</v>
      </c>
      <c r="M183" s="4">
        <v>5</v>
      </c>
      <c r="N183" s="4">
        <v>4</v>
      </c>
      <c r="O183" s="4" t="s">
        <v>21</v>
      </c>
    </row>
    <row r="184" spans="1:15">
      <c r="A184" s="6" t="s">
        <v>265</v>
      </c>
      <c r="B184" s="3">
        <v>45839</v>
      </c>
      <c r="C184" s="4" t="s">
        <v>16</v>
      </c>
      <c r="D184" s="4" t="s">
        <v>24</v>
      </c>
      <c r="E184" s="4" t="s">
        <v>35</v>
      </c>
      <c r="F184" s="4" t="s">
        <v>55</v>
      </c>
      <c r="G184" s="4">
        <v>5</v>
      </c>
      <c r="H184" s="4">
        <v>52.81</v>
      </c>
      <c r="I184" s="4">
        <v>0.15</v>
      </c>
      <c r="J184" s="4">
        <v>224.44</v>
      </c>
      <c r="K184" s="4">
        <v>114.76</v>
      </c>
      <c r="L184" s="4" t="s">
        <v>40</v>
      </c>
      <c r="M184" s="4">
        <v>3</v>
      </c>
      <c r="N184" s="4">
        <v>5</v>
      </c>
      <c r="O184" s="4" t="s">
        <v>21</v>
      </c>
    </row>
    <row r="185" spans="1:15">
      <c r="A185" s="6" t="s">
        <v>342</v>
      </c>
      <c r="B185" s="3">
        <v>45912</v>
      </c>
      <c r="C185" s="4" t="s">
        <v>71</v>
      </c>
      <c r="D185" s="4" t="s">
        <v>17</v>
      </c>
      <c r="E185" s="4" t="s">
        <v>46</v>
      </c>
      <c r="F185" s="4" t="s">
        <v>68</v>
      </c>
      <c r="G185" s="4">
        <v>3</v>
      </c>
      <c r="H185" s="4">
        <v>96.21</v>
      </c>
      <c r="I185" s="4">
        <v>0.1</v>
      </c>
      <c r="J185" s="4">
        <v>259.77</v>
      </c>
      <c r="K185" s="4">
        <v>143.9</v>
      </c>
      <c r="L185" s="4" t="s">
        <v>40</v>
      </c>
      <c r="M185" s="4">
        <v>7</v>
      </c>
      <c r="N185" s="4">
        <v>5</v>
      </c>
      <c r="O185" s="4" t="s">
        <v>21</v>
      </c>
    </row>
    <row r="186" spans="1:15">
      <c r="A186" s="6" t="s">
        <v>261</v>
      </c>
      <c r="B186" s="3">
        <v>45838</v>
      </c>
      <c r="C186" s="4" t="s">
        <v>16</v>
      </c>
      <c r="D186" s="4" t="s">
        <v>24</v>
      </c>
      <c r="E186" s="4" t="s">
        <v>46</v>
      </c>
      <c r="F186" s="4" t="s">
        <v>68</v>
      </c>
      <c r="G186" s="4">
        <v>2</v>
      </c>
      <c r="H186" s="4">
        <v>86.47</v>
      </c>
      <c r="I186" s="4">
        <v>0.15</v>
      </c>
      <c r="J186" s="4">
        <v>147</v>
      </c>
      <c r="K186" s="4">
        <v>99.84</v>
      </c>
      <c r="L186" s="4" t="s">
        <v>40</v>
      </c>
      <c r="M186" s="4">
        <v>3</v>
      </c>
      <c r="N186" s="4">
        <v>4</v>
      </c>
      <c r="O186" s="4" t="s">
        <v>21</v>
      </c>
    </row>
    <row r="187" spans="1:15">
      <c r="A187" s="6" t="s">
        <v>236</v>
      </c>
      <c r="B187" s="3">
        <v>45820</v>
      </c>
      <c r="C187" s="4" t="s">
        <v>29</v>
      </c>
      <c r="D187" s="4" t="s">
        <v>30</v>
      </c>
      <c r="E187" s="4" t="s">
        <v>46</v>
      </c>
      <c r="F187" s="4" t="s">
        <v>68</v>
      </c>
      <c r="G187" s="4">
        <v>3</v>
      </c>
      <c r="H187" s="4">
        <v>90.17</v>
      </c>
      <c r="I187" s="4">
        <v>0.1</v>
      </c>
      <c r="J187" s="4">
        <v>243.46</v>
      </c>
      <c r="K187" s="4">
        <v>137.80000000000001</v>
      </c>
      <c r="L187" s="4" t="s">
        <v>40</v>
      </c>
      <c r="M187" s="4">
        <v>4</v>
      </c>
      <c r="N187" s="4">
        <v>4</v>
      </c>
      <c r="O187" s="4" t="s">
        <v>21</v>
      </c>
    </row>
    <row r="188" spans="1:15">
      <c r="A188" s="6" t="s">
        <v>121</v>
      </c>
      <c r="B188" s="3">
        <v>45718</v>
      </c>
      <c r="C188" s="4" t="s">
        <v>29</v>
      </c>
      <c r="D188" s="4" t="s">
        <v>30</v>
      </c>
      <c r="E188" s="4" t="s">
        <v>25</v>
      </c>
      <c r="F188" s="4" t="s">
        <v>89</v>
      </c>
      <c r="G188" s="4">
        <v>4</v>
      </c>
      <c r="H188" s="4">
        <v>109.47</v>
      </c>
      <c r="I188" s="4">
        <v>0.05</v>
      </c>
      <c r="J188" s="4">
        <v>415.99</v>
      </c>
      <c r="K188" s="4">
        <v>206.32</v>
      </c>
      <c r="L188" s="4" t="s">
        <v>40</v>
      </c>
      <c r="M188" s="4">
        <v>6</v>
      </c>
      <c r="N188" s="4">
        <v>5</v>
      </c>
      <c r="O188" s="4" t="s">
        <v>21</v>
      </c>
    </row>
    <row r="189" spans="1:15">
      <c r="A189" s="6" t="s">
        <v>211</v>
      </c>
      <c r="B189" s="3">
        <v>45797</v>
      </c>
      <c r="C189" s="4" t="s">
        <v>29</v>
      </c>
      <c r="D189" s="4" t="s">
        <v>17</v>
      </c>
      <c r="E189" s="4" t="s">
        <v>35</v>
      </c>
      <c r="F189" s="4" t="s">
        <v>36</v>
      </c>
      <c r="G189" s="4">
        <v>5</v>
      </c>
      <c r="H189" s="4">
        <v>43.78</v>
      </c>
      <c r="I189" s="4">
        <v>0</v>
      </c>
      <c r="J189" s="4">
        <v>218.9</v>
      </c>
      <c r="K189" s="4">
        <v>74.510000000000005</v>
      </c>
      <c r="L189" s="4" t="s">
        <v>33</v>
      </c>
      <c r="M189" s="4"/>
      <c r="N189" s="4"/>
      <c r="O189" s="4" t="s">
        <v>21</v>
      </c>
    </row>
    <row r="190" spans="1:15">
      <c r="A190" s="6" t="s">
        <v>148</v>
      </c>
      <c r="B190" s="3">
        <v>45745</v>
      </c>
      <c r="C190" s="4" t="s">
        <v>71</v>
      </c>
      <c r="D190" s="4" t="s">
        <v>17</v>
      </c>
      <c r="E190" s="4" t="s">
        <v>46</v>
      </c>
      <c r="F190" s="4" t="s">
        <v>47</v>
      </c>
      <c r="G190" s="4">
        <v>2</v>
      </c>
      <c r="H190" s="4">
        <v>166.32</v>
      </c>
      <c r="I190" s="4">
        <v>0</v>
      </c>
      <c r="J190" s="4">
        <v>332.64</v>
      </c>
      <c r="K190" s="4">
        <v>176.97</v>
      </c>
      <c r="L190" s="4" t="s">
        <v>40</v>
      </c>
      <c r="M190" s="4">
        <v>8</v>
      </c>
      <c r="N190" s="4">
        <v>3</v>
      </c>
      <c r="O190" s="4" t="s">
        <v>21</v>
      </c>
    </row>
    <row r="191" spans="1:15">
      <c r="A191" s="6" t="s">
        <v>176</v>
      </c>
      <c r="B191" s="3">
        <v>45768</v>
      </c>
      <c r="C191" s="4" t="s">
        <v>29</v>
      </c>
      <c r="D191" s="4" t="s">
        <v>24</v>
      </c>
      <c r="E191" s="4" t="s">
        <v>25</v>
      </c>
      <c r="F191" s="4" t="s">
        <v>63</v>
      </c>
      <c r="G191" s="4">
        <v>1</v>
      </c>
      <c r="H191" s="4">
        <v>53.82</v>
      </c>
      <c r="I191" s="4">
        <v>0.1</v>
      </c>
      <c r="J191" s="4">
        <v>48.44</v>
      </c>
      <c r="K191" s="4">
        <v>20.440000000000001</v>
      </c>
      <c r="L191" s="4" t="s">
        <v>20</v>
      </c>
      <c r="M191" s="4"/>
      <c r="N191" s="4"/>
      <c r="O191" s="4" t="s">
        <v>21</v>
      </c>
    </row>
    <row r="192" spans="1:15">
      <c r="A192" s="6" t="s">
        <v>337</v>
      </c>
      <c r="B192" s="3">
        <v>45907</v>
      </c>
      <c r="C192" s="4" t="s">
        <v>38</v>
      </c>
      <c r="D192" s="4" t="s">
        <v>17</v>
      </c>
      <c r="E192" s="4" t="s">
        <v>18</v>
      </c>
      <c r="F192" s="4" t="s">
        <v>57</v>
      </c>
      <c r="G192" s="4">
        <v>2</v>
      </c>
      <c r="H192" s="4">
        <v>42.03</v>
      </c>
      <c r="I192" s="4">
        <v>0.05</v>
      </c>
      <c r="J192" s="4">
        <v>79.86</v>
      </c>
      <c r="K192" s="4">
        <v>37.71</v>
      </c>
      <c r="L192" s="4" t="s">
        <v>20</v>
      </c>
      <c r="M192" s="4"/>
      <c r="N192" s="4"/>
      <c r="O192" s="4" t="s">
        <v>21</v>
      </c>
    </row>
    <row r="193" spans="1:15">
      <c r="A193" s="6" t="s">
        <v>314</v>
      </c>
      <c r="B193" s="3">
        <v>45888</v>
      </c>
      <c r="C193" s="4" t="s">
        <v>29</v>
      </c>
      <c r="D193" s="4" t="s">
        <v>17</v>
      </c>
      <c r="E193" s="4" t="s">
        <v>31</v>
      </c>
      <c r="F193" s="4" t="s">
        <v>91</v>
      </c>
      <c r="G193" s="4">
        <v>4</v>
      </c>
      <c r="H193" s="4">
        <v>69.63</v>
      </c>
      <c r="I193" s="4">
        <v>0.1</v>
      </c>
      <c r="J193" s="4">
        <v>250.67</v>
      </c>
      <c r="K193" s="4">
        <v>126.81</v>
      </c>
      <c r="L193" s="4" t="s">
        <v>40</v>
      </c>
      <c r="M193" s="4">
        <v>7</v>
      </c>
      <c r="N193" s="4">
        <v>2</v>
      </c>
      <c r="O193" s="4" t="s">
        <v>21</v>
      </c>
    </row>
    <row r="194" spans="1:15">
      <c r="A194" s="6" t="s">
        <v>306</v>
      </c>
      <c r="B194" s="3">
        <v>45879</v>
      </c>
      <c r="C194" s="4" t="s">
        <v>29</v>
      </c>
      <c r="D194" s="4" t="s">
        <v>24</v>
      </c>
      <c r="E194" s="4" t="s">
        <v>25</v>
      </c>
      <c r="F194" s="4" t="s">
        <v>89</v>
      </c>
      <c r="G194" s="4">
        <v>5</v>
      </c>
      <c r="H194" s="4">
        <v>111.51</v>
      </c>
      <c r="I194" s="4">
        <v>0</v>
      </c>
      <c r="J194" s="4">
        <v>557.54999999999995</v>
      </c>
      <c r="K194" s="4">
        <v>251.26</v>
      </c>
      <c r="L194" s="4" t="s">
        <v>40</v>
      </c>
      <c r="M194" s="4">
        <v>5</v>
      </c>
      <c r="N194" s="4">
        <v>1</v>
      </c>
      <c r="O194" s="4" t="s">
        <v>21</v>
      </c>
    </row>
    <row r="195" spans="1:15">
      <c r="A195" s="6" t="s">
        <v>202</v>
      </c>
      <c r="B195" s="3">
        <v>45790</v>
      </c>
      <c r="C195" s="4" t="s">
        <v>29</v>
      </c>
      <c r="D195" s="4" t="s">
        <v>17</v>
      </c>
      <c r="E195" s="4" t="s">
        <v>46</v>
      </c>
      <c r="F195" s="4" t="s">
        <v>49</v>
      </c>
      <c r="G195" s="4">
        <v>2</v>
      </c>
      <c r="H195" s="4">
        <v>331.69</v>
      </c>
      <c r="I195" s="4">
        <v>0.1</v>
      </c>
      <c r="J195" s="4">
        <v>597.04</v>
      </c>
      <c r="K195" s="4">
        <v>354.1</v>
      </c>
      <c r="L195" s="4" t="s">
        <v>33</v>
      </c>
      <c r="M195" s="4"/>
      <c r="N195" s="4"/>
      <c r="O195" s="4" t="s">
        <v>21</v>
      </c>
    </row>
    <row r="196" spans="1:15">
      <c r="A196" s="6" t="s">
        <v>450</v>
      </c>
      <c r="B196" s="3">
        <v>46008</v>
      </c>
      <c r="C196" s="4" t="s">
        <v>23</v>
      </c>
      <c r="D196" s="4" t="s">
        <v>30</v>
      </c>
      <c r="E196" s="4" t="s">
        <v>46</v>
      </c>
      <c r="F196" s="4" t="s">
        <v>68</v>
      </c>
      <c r="G196" s="4">
        <v>2</v>
      </c>
      <c r="H196" s="4">
        <v>99.62</v>
      </c>
      <c r="I196" s="4">
        <v>0.05</v>
      </c>
      <c r="J196" s="4">
        <v>189.28</v>
      </c>
      <c r="K196" s="4">
        <v>91.96</v>
      </c>
      <c r="L196" s="4" t="s">
        <v>20</v>
      </c>
      <c r="M196" s="4"/>
      <c r="N196" s="4"/>
      <c r="O196" s="4" t="s">
        <v>21</v>
      </c>
    </row>
    <row r="197" spans="1:15">
      <c r="A197" s="6" t="s">
        <v>74</v>
      </c>
      <c r="B197" s="3">
        <v>45689</v>
      </c>
      <c r="C197" s="4" t="s">
        <v>16</v>
      </c>
      <c r="D197" s="4" t="s">
        <v>24</v>
      </c>
      <c r="E197" s="4" t="s">
        <v>18</v>
      </c>
      <c r="F197" s="4" t="s">
        <v>57</v>
      </c>
      <c r="G197" s="4">
        <v>3</v>
      </c>
      <c r="H197" s="4">
        <v>48.85</v>
      </c>
      <c r="I197" s="4">
        <v>0.1</v>
      </c>
      <c r="J197" s="4">
        <v>131.9</v>
      </c>
      <c r="K197" s="4">
        <v>53.93</v>
      </c>
      <c r="L197" s="4" t="s">
        <v>40</v>
      </c>
      <c r="M197" s="4">
        <v>8</v>
      </c>
      <c r="N197" s="4">
        <v>4</v>
      </c>
      <c r="O197" s="4" t="s">
        <v>21</v>
      </c>
    </row>
    <row r="198" spans="1:15">
      <c r="A198" s="6" t="s">
        <v>196</v>
      </c>
      <c r="B198" s="3">
        <v>45783</v>
      </c>
      <c r="C198" s="4" t="s">
        <v>23</v>
      </c>
      <c r="D198" s="4" t="s">
        <v>17</v>
      </c>
      <c r="E198" s="4" t="s">
        <v>46</v>
      </c>
      <c r="F198" s="4" t="s">
        <v>49</v>
      </c>
      <c r="G198" s="4">
        <v>3</v>
      </c>
      <c r="H198" s="4">
        <v>346.99</v>
      </c>
      <c r="I198" s="4">
        <v>0.05</v>
      </c>
      <c r="J198" s="4">
        <v>988.92</v>
      </c>
      <c r="K198" s="4">
        <v>569.41</v>
      </c>
      <c r="L198" s="4" t="s">
        <v>40</v>
      </c>
      <c r="M198" s="4">
        <v>4</v>
      </c>
      <c r="N198" s="4">
        <v>3</v>
      </c>
      <c r="O198" s="4" t="s">
        <v>21</v>
      </c>
    </row>
    <row r="199" spans="1:15">
      <c r="A199" s="6" t="s">
        <v>96</v>
      </c>
      <c r="B199" s="3">
        <v>45701</v>
      </c>
      <c r="C199" s="4" t="s">
        <v>71</v>
      </c>
      <c r="D199" s="4" t="s">
        <v>17</v>
      </c>
      <c r="E199" s="4" t="s">
        <v>46</v>
      </c>
      <c r="F199" s="4" t="s">
        <v>47</v>
      </c>
      <c r="G199" s="4">
        <v>1</v>
      </c>
      <c r="H199" s="4">
        <v>177.55</v>
      </c>
      <c r="I199" s="4">
        <v>0</v>
      </c>
      <c r="J199" s="4">
        <v>177.55</v>
      </c>
      <c r="K199" s="4">
        <v>99.09</v>
      </c>
      <c r="L199" s="4" t="s">
        <v>40</v>
      </c>
      <c r="M199" s="4">
        <v>2</v>
      </c>
      <c r="N199" s="4">
        <v>3</v>
      </c>
      <c r="O199" s="4" t="s">
        <v>21</v>
      </c>
    </row>
    <row r="200" spans="1:15">
      <c r="A200" s="6" t="s">
        <v>195</v>
      </c>
      <c r="B200" s="3">
        <v>45781</v>
      </c>
      <c r="C200" s="4" t="s">
        <v>29</v>
      </c>
      <c r="D200" s="4" t="s">
        <v>30</v>
      </c>
      <c r="E200" s="4" t="s">
        <v>46</v>
      </c>
      <c r="F200" s="4" t="s">
        <v>47</v>
      </c>
      <c r="G200" s="4">
        <v>5</v>
      </c>
      <c r="H200" s="4">
        <v>184.56</v>
      </c>
      <c r="I200" s="4">
        <v>0</v>
      </c>
      <c r="J200" s="4">
        <v>922.8</v>
      </c>
      <c r="K200" s="4">
        <v>461.79</v>
      </c>
      <c r="L200" s="4" t="s">
        <v>40</v>
      </c>
      <c r="M200" s="4">
        <v>6</v>
      </c>
      <c r="N200" s="4">
        <v>1</v>
      </c>
      <c r="O200" s="4" t="s">
        <v>21</v>
      </c>
    </row>
    <row r="201" spans="1:15">
      <c r="A201" s="6" t="s">
        <v>452</v>
      </c>
      <c r="B201" s="3">
        <v>46009</v>
      </c>
      <c r="C201" s="4" t="s">
        <v>29</v>
      </c>
      <c r="D201" s="4" t="s">
        <v>17</v>
      </c>
      <c r="E201" s="4" t="s">
        <v>31</v>
      </c>
      <c r="F201" s="4" t="s">
        <v>91</v>
      </c>
      <c r="G201" s="4">
        <v>5</v>
      </c>
      <c r="H201" s="4">
        <v>69.55</v>
      </c>
      <c r="I201" s="4">
        <v>0.1</v>
      </c>
      <c r="J201" s="4">
        <v>312.98</v>
      </c>
      <c r="K201" s="4">
        <v>183.57</v>
      </c>
      <c r="L201" s="4" t="s">
        <v>40</v>
      </c>
      <c r="M201" s="4">
        <v>3</v>
      </c>
      <c r="N201" s="4">
        <v>2</v>
      </c>
      <c r="O201" s="4" t="s">
        <v>21</v>
      </c>
    </row>
    <row r="202" spans="1:15">
      <c r="A202" s="6" t="s">
        <v>204</v>
      </c>
      <c r="B202" s="3">
        <v>45791</v>
      </c>
      <c r="C202" s="4" t="s">
        <v>71</v>
      </c>
      <c r="D202" s="4" t="s">
        <v>30</v>
      </c>
      <c r="E202" s="4" t="s">
        <v>35</v>
      </c>
      <c r="F202" s="4" t="s">
        <v>55</v>
      </c>
      <c r="G202" s="4">
        <v>3</v>
      </c>
      <c r="H202" s="4">
        <v>60.39</v>
      </c>
      <c r="I202" s="4">
        <v>0.2</v>
      </c>
      <c r="J202" s="4">
        <v>144.94</v>
      </c>
      <c r="K202" s="4">
        <v>66.28</v>
      </c>
      <c r="L202" s="4" t="s">
        <v>40</v>
      </c>
      <c r="M202" s="4">
        <v>6</v>
      </c>
      <c r="N202" s="4">
        <v>2</v>
      </c>
      <c r="O202" s="4" t="s">
        <v>21</v>
      </c>
    </row>
    <row r="203" spans="1:15">
      <c r="A203" s="6" t="s">
        <v>433</v>
      </c>
      <c r="B203" s="3">
        <v>45989</v>
      </c>
      <c r="C203" s="4" t="s">
        <v>23</v>
      </c>
      <c r="D203" s="4" t="s">
        <v>30</v>
      </c>
      <c r="E203" s="4" t="s">
        <v>18</v>
      </c>
      <c r="F203" s="4" t="s">
        <v>80</v>
      </c>
      <c r="G203" s="4">
        <v>4</v>
      </c>
      <c r="H203" s="4">
        <v>118.56</v>
      </c>
      <c r="I203" s="4">
        <v>0</v>
      </c>
      <c r="J203" s="4">
        <v>474.24</v>
      </c>
      <c r="K203" s="4">
        <v>237.09</v>
      </c>
      <c r="L203" s="4" t="s">
        <v>20</v>
      </c>
      <c r="M203" s="4"/>
      <c r="N203" s="4"/>
      <c r="O203" s="4" t="s">
        <v>21</v>
      </c>
    </row>
    <row r="204" spans="1:15">
      <c r="A204" s="6" t="s">
        <v>262</v>
      </c>
      <c r="B204" s="3">
        <v>45838</v>
      </c>
      <c r="C204" s="4" t="s">
        <v>16</v>
      </c>
      <c r="D204" s="4" t="s">
        <v>17</v>
      </c>
      <c r="E204" s="4" t="s">
        <v>25</v>
      </c>
      <c r="F204" s="4" t="s">
        <v>63</v>
      </c>
      <c r="G204" s="4">
        <v>2</v>
      </c>
      <c r="H204" s="4">
        <v>50.47</v>
      </c>
      <c r="I204" s="4">
        <v>0</v>
      </c>
      <c r="J204" s="4">
        <v>100.94</v>
      </c>
      <c r="K204" s="4">
        <v>40.39</v>
      </c>
      <c r="L204" s="4" t="s">
        <v>40</v>
      </c>
      <c r="M204" s="4">
        <v>5</v>
      </c>
      <c r="N204" s="4">
        <v>4</v>
      </c>
      <c r="O204" s="4" t="s">
        <v>21</v>
      </c>
    </row>
    <row r="205" spans="1:15">
      <c r="A205" s="6" t="s">
        <v>344</v>
      </c>
      <c r="B205" s="3">
        <v>45913</v>
      </c>
      <c r="C205" s="4" t="s">
        <v>38</v>
      </c>
      <c r="D205" s="4" t="s">
        <v>17</v>
      </c>
      <c r="E205" s="4" t="s">
        <v>35</v>
      </c>
      <c r="F205" s="4" t="s">
        <v>36</v>
      </c>
      <c r="G205" s="4">
        <v>3</v>
      </c>
      <c r="H205" s="4">
        <v>37.51</v>
      </c>
      <c r="I205" s="4">
        <v>0</v>
      </c>
      <c r="J205" s="4">
        <v>112.53</v>
      </c>
      <c r="K205" s="4">
        <v>44.36</v>
      </c>
      <c r="L205" s="4" t="s">
        <v>40</v>
      </c>
      <c r="M205" s="4">
        <v>1</v>
      </c>
      <c r="N205" s="4">
        <v>4</v>
      </c>
      <c r="O205" s="4" t="s">
        <v>21</v>
      </c>
    </row>
    <row r="206" spans="1:15">
      <c r="A206" s="6" t="s">
        <v>242</v>
      </c>
      <c r="B206" s="3">
        <v>45824</v>
      </c>
      <c r="C206" s="4" t="s">
        <v>38</v>
      </c>
      <c r="D206" s="4" t="s">
        <v>17</v>
      </c>
      <c r="E206" s="4" t="s">
        <v>18</v>
      </c>
      <c r="F206" s="4" t="s">
        <v>80</v>
      </c>
      <c r="G206" s="4">
        <v>1</v>
      </c>
      <c r="H206" s="4">
        <v>112.25</v>
      </c>
      <c r="I206" s="4">
        <v>0</v>
      </c>
      <c r="J206" s="4">
        <v>112.25</v>
      </c>
      <c r="K206" s="4">
        <v>56.37</v>
      </c>
      <c r="L206" s="4" t="s">
        <v>14</v>
      </c>
      <c r="M206" s="4">
        <v>3</v>
      </c>
      <c r="N206" s="4">
        <v>5</v>
      </c>
      <c r="O206" s="4" t="s">
        <v>27</v>
      </c>
    </row>
    <row r="207" spans="1:15">
      <c r="A207" s="6" t="s">
        <v>156</v>
      </c>
      <c r="B207" s="3">
        <v>45755</v>
      </c>
      <c r="C207" s="4" t="s">
        <v>29</v>
      </c>
      <c r="D207" s="4" t="s">
        <v>17</v>
      </c>
      <c r="E207" s="4" t="s">
        <v>46</v>
      </c>
      <c r="F207" s="4" t="s">
        <v>49</v>
      </c>
      <c r="G207" s="4">
        <v>1</v>
      </c>
      <c r="H207" s="4">
        <v>326.82</v>
      </c>
      <c r="I207" s="4">
        <v>0</v>
      </c>
      <c r="J207" s="4">
        <v>326.82</v>
      </c>
      <c r="K207" s="4">
        <v>188.32</v>
      </c>
      <c r="L207" s="4" t="s">
        <v>20</v>
      </c>
      <c r="M207" s="4"/>
      <c r="N207" s="4"/>
      <c r="O207" s="4" t="s">
        <v>21</v>
      </c>
    </row>
    <row r="208" spans="1:15">
      <c r="A208" s="6" t="s">
        <v>371</v>
      </c>
      <c r="B208" s="3">
        <v>45936</v>
      </c>
      <c r="C208" s="4" t="s">
        <v>16</v>
      </c>
      <c r="D208" s="4" t="s">
        <v>17</v>
      </c>
      <c r="E208" s="4" t="s">
        <v>31</v>
      </c>
      <c r="F208" s="4" t="s">
        <v>32</v>
      </c>
      <c r="G208" s="4">
        <v>5</v>
      </c>
      <c r="H208" s="4">
        <v>32.75</v>
      </c>
      <c r="I208" s="4">
        <v>0</v>
      </c>
      <c r="J208" s="4">
        <v>163.75</v>
      </c>
      <c r="K208" s="4">
        <v>90.49</v>
      </c>
      <c r="L208" s="4" t="s">
        <v>40</v>
      </c>
      <c r="M208" s="4">
        <v>5</v>
      </c>
      <c r="N208" s="4">
        <v>5</v>
      </c>
      <c r="O208" s="4" t="s">
        <v>21</v>
      </c>
    </row>
    <row r="209" spans="1:15">
      <c r="A209" s="6" t="s">
        <v>455</v>
      </c>
      <c r="B209" s="3">
        <v>46011</v>
      </c>
      <c r="C209" s="4" t="s">
        <v>16</v>
      </c>
      <c r="D209" s="4" t="s">
        <v>17</v>
      </c>
      <c r="E209" s="4" t="s">
        <v>25</v>
      </c>
      <c r="F209" s="4" t="s">
        <v>89</v>
      </c>
      <c r="G209" s="4">
        <v>1</v>
      </c>
      <c r="H209" s="4">
        <v>109.87</v>
      </c>
      <c r="I209" s="4">
        <v>0.2</v>
      </c>
      <c r="J209" s="4">
        <v>87.9</v>
      </c>
      <c r="K209" s="4">
        <v>50.34</v>
      </c>
      <c r="L209" s="4" t="s">
        <v>33</v>
      </c>
      <c r="M209" s="4"/>
      <c r="N209" s="4"/>
      <c r="O209" s="4" t="s">
        <v>21</v>
      </c>
    </row>
    <row r="210" spans="1:15">
      <c r="A210" s="6" t="s">
        <v>155</v>
      </c>
      <c r="B210" s="3">
        <v>45754</v>
      </c>
      <c r="C210" s="4" t="s">
        <v>29</v>
      </c>
      <c r="D210" s="4" t="s">
        <v>24</v>
      </c>
      <c r="E210" s="4" t="s">
        <v>35</v>
      </c>
      <c r="F210" s="4" t="s">
        <v>36</v>
      </c>
      <c r="G210" s="4">
        <v>1</v>
      </c>
      <c r="H210" s="4">
        <v>41.69</v>
      </c>
      <c r="I210" s="4">
        <v>0.05</v>
      </c>
      <c r="J210" s="4">
        <v>39.61</v>
      </c>
      <c r="K210" s="4">
        <v>12.92</v>
      </c>
      <c r="L210" s="4" t="s">
        <v>40</v>
      </c>
      <c r="M210" s="4">
        <v>4</v>
      </c>
      <c r="N210" s="4">
        <v>4</v>
      </c>
      <c r="O210" s="4" t="s">
        <v>21</v>
      </c>
    </row>
    <row r="211" spans="1:15">
      <c r="A211" s="6" t="s">
        <v>379</v>
      </c>
      <c r="B211" s="3">
        <v>45942</v>
      </c>
      <c r="C211" s="4" t="s">
        <v>29</v>
      </c>
      <c r="D211" s="4" t="s">
        <v>17</v>
      </c>
      <c r="E211" s="4" t="s">
        <v>31</v>
      </c>
      <c r="F211" s="4" t="s">
        <v>59</v>
      </c>
      <c r="G211" s="4">
        <v>2</v>
      </c>
      <c r="H211" s="4">
        <v>47.76</v>
      </c>
      <c r="I211" s="4">
        <v>0</v>
      </c>
      <c r="J211" s="4">
        <v>95.52</v>
      </c>
      <c r="K211" s="4">
        <v>54.89</v>
      </c>
      <c r="L211" s="4" t="s">
        <v>33</v>
      </c>
      <c r="M211" s="4"/>
      <c r="N211" s="4"/>
      <c r="O211" s="4" t="s">
        <v>21</v>
      </c>
    </row>
    <row r="212" spans="1:15">
      <c r="A212" s="6" t="s">
        <v>153</v>
      </c>
      <c r="B212" s="3">
        <v>45753</v>
      </c>
      <c r="C212" s="4" t="s">
        <v>16</v>
      </c>
      <c r="D212" s="4" t="s">
        <v>30</v>
      </c>
      <c r="E212" s="4" t="s">
        <v>35</v>
      </c>
      <c r="F212" s="4" t="s">
        <v>55</v>
      </c>
      <c r="G212" s="4">
        <v>3</v>
      </c>
      <c r="H212" s="4">
        <v>51.44</v>
      </c>
      <c r="I212" s="4">
        <v>0.05</v>
      </c>
      <c r="J212" s="4">
        <v>146.6</v>
      </c>
      <c r="K212" s="4">
        <v>69.430000000000007</v>
      </c>
      <c r="L212" s="4" t="s">
        <v>40</v>
      </c>
      <c r="M212" s="4">
        <v>8</v>
      </c>
      <c r="N212" s="4">
        <v>3</v>
      </c>
      <c r="O212" s="4" t="s">
        <v>21</v>
      </c>
    </row>
    <row r="213" spans="1:15">
      <c r="A213" s="6" t="s">
        <v>349</v>
      </c>
      <c r="B213" s="3">
        <v>45919</v>
      </c>
      <c r="C213" s="4" t="s">
        <v>23</v>
      </c>
      <c r="D213" s="4" t="s">
        <v>30</v>
      </c>
      <c r="E213" s="4" t="s">
        <v>31</v>
      </c>
      <c r="F213" s="4" t="s">
        <v>91</v>
      </c>
      <c r="G213" s="4">
        <v>3</v>
      </c>
      <c r="H213" s="4">
        <v>68.42</v>
      </c>
      <c r="I213" s="4">
        <v>0</v>
      </c>
      <c r="J213" s="4">
        <v>205.26</v>
      </c>
      <c r="K213" s="4">
        <v>109.67</v>
      </c>
      <c r="L213" s="4" t="s">
        <v>14</v>
      </c>
      <c r="M213" s="4">
        <v>2</v>
      </c>
      <c r="N213" s="4">
        <v>3</v>
      </c>
      <c r="O213" s="4" t="s">
        <v>27</v>
      </c>
    </row>
    <row r="214" spans="1:15">
      <c r="A214" s="6" t="s">
        <v>388</v>
      </c>
      <c r="B214" s="3">
        <v>45945</v>
      </c>
      <c r="C214" s="4" t="s">
        <v>16</v>
      </c>
      <c r="D214" s="4" t="s">
        <v>24</v>
      </c>
      <c r="E214" s="4" t="s">
        <v>46</v>
      </c>
      <c r="F214" s="4" t="s">
        <v>47</v>
      </c>
      <c r="G214" s="4">
        <v>5</v>
      </c>
      <c r="H214" s="4">
        <v>184.13</v>
      </c>
      <c r="I214" s="4">
        <v>0.1</v>
      </c>
      <c r="J214" s="4">
        <v>828.59</v>
      </c>
      <c r="K214" s="4">
        <v>468.71</v>
      </c>
      <c r="L214" s="4" t="s">
        <v>33</v>
      </c>
      <c r="M214" s="4"/>
      <c r="N214" s="4"/>
      <c r="O214" s="4" t="s">
        <v>21</v>
      </c>
    </row>
    <row r="215" spans="1:15">
      <c r="A215" s="6" t="s">
        <v>240</v>
      </c>
      <c r="B215" s="3">
        <v>45822</v>
      </c>
      <c r="C215" s="4" t="s">
        <v>29</v>
      </c>
      <c r="D215" s="4" t="s">
        <v>30</v>
      </c>
      <c r="E215" s="4" t="s">
        <v>46</v>
      </c>
      <c r="F215" s="4" t="s">
        <v>49</v>
      </c>
      <c r="G215" s="4">
        <v>4</v>
      </c>
      <c r="H215" s="4">
        <v>318.24</v>
      </c>
      <c r="I215" s="4">
        <v>0.15</v>
      </c>
      <c r="J215" s="4">
        <v>1082.02</v>
      </c>
      <c r="K215" s="4">
        <v>761.2</v>
      </c>
      <c r="L215" s="4" t="s">
        <v>20</v>
      </c>
      <c r="M215" s="4"/>
      <c r="N215" s="4"/>
      <c r="O215" s="4" t="s">
        <v>21</v>
      </c>
    </row>
    <row r="216" spans="1:15">
      <c r="A216" s="6" t="s">
        <v>360</v>
      </c>
      <c r="B216" s="3">
        <v>45926</v>
      </c>
      <c r="C216" s="4" t="s">
        <v>38</v>
      </c>
      <c r="D216" s="4" t="s">
        <v>17</v>
      </c>
      <c r="E216" s="4" t="s">
        <v>25</v>
      </c>
      <c r="F216" s="4" t="s">
        <v>26</v>
      </c>
      <c r="G216" s="4">
        <v>2</v>
      </c>
      <c r="H216" s="4">
        <v>226.54</v>
      </c>
      <c r="I216" s="4">
        <v>0</v>
      </c>
      <c r="J216" s="4">
        <v>453.08</v>
      </c>
      <c r="K216" s="4">
        <v>258.5</v>
      </c>
      <c r="L216" s="4" t="s">
        <v>33</v>
      </c>
      <c r="M216" s="4"/>
      <c r="N216" s="4"/>
      <c r="O216" s="4" t="s">
        <v>21</v>
      </c>
    </row>
    <row r="217" spans="1:15">
      <c r="A217" s="6" t="s">
        <v>158</v>
      </c>
      <c r="B217" s="3">
        <v>45757</v>
      </c>
      <c r="C217" s="4" t="s">
        <v>23</v>
      </c>
      <c r="D217" s="4" t="s">
        <v>17</v>
      </c>
      <c r="E217" s="4" t="s">
        <v>31</v>
      </c>
      <c r="F217" s="4" t="s">
        <v>59</v>
      </c>
      <c r="G217" s="4">
        <v>4</v>
      </c>
      <c r="H217" s="4">
        <v>45.52</v>
      </c>
      <c r="I217" s="4">
        <v>0.15</v>
      </c>
      <c r="J217" s="4">
        <v>154.77000000000001</v>
      </c>
      <c r="K217" s="4">
        <v>110.05</v>
      </c>
      <c r="L217" s="4" t="s">
        <v>40</v>
      </c>
      <c r="M217" s="4">
        <v>1</v>
      </c>
      <c r="N217" s="4">
        <v>4</v>
      </c>
      <c r="O217" s="4" t="s">
        <v>21</v>
      </c>
    </row>
    <row r="218" spans="1:15">
      <c r="A218" s="6" t="s">
        <v>69</v>
      </c>
      <c r="B218" s="3">
        <v>45686</v>
      </c>
      <c r="C218" s="4" t="s">
        <v>29</v>
      </c>
      <c r="D218" s="4" t="s">
        <v>30</v>
      </c>
      <c r="E218" s="4" t="s">
        <v>31</v>
      </c>
      <c r="F218" s="4" t="s">
        <v>32</v>
      </c>
      <c r="G218" s="4">
        <v>1</v>
      </c>
      <c r="H218" s="4">
        <v>36.22</v>
      </c>
      <c r="I218" s="4">
        <v>0</v>
      </c>
      <c r="J218" s="4">
        <v>36.22</v>
      </c>
      <c r="K218" s="4">
        <v>16.559999999999999</v>
      </c>
      <c r="L218" s="4" t="s">
        <v>40</v>
      </c>
      <c r="M218" s="4">
        <v>1</v>
      </c>
      <c r="N218" s="4">
        <v>1</v>
      </c>
      <c r="O218" s="4" t="s">
        <v>21</v>
      </c>
    </row>
    <row r="219" spans="1:15">
      <c r="A219" s="6" t="s">
        <v>85</v>
      </c>
      <c r="B219" s="3">
        <v>45693</v>
      </c>
      <c r="C219" s="4" t="s">
        <v>23</v>
      </c>
      <c r="D219" s="4" t="s">
        <v>24</v>
      </c>
      <c r="E219" s="4" t="s">
        <v>35</v>
      </c>
      <c r="F219" s="4" t="s">
        <v>39</v>
      </c>
      <c r="G219" s="4">
        <v>1</v>
      </c>
      <c r="H219" s="4">
        <v>80.14</v>
      </c>
      <c r="I219" s="4">
        <v>0.05</v>
      </c>
      <c r="J219" s="4">
        <v>76.13</v>
      </c>
      <c r="K219" s="4">
        <v>31.73</v>
      </c>
      <c r="L219" s="4" t="s">
        <v>20</v>
      </c>
      <c r="M219" s="4"/>
      <c r="N219" s="4"/>
      <c r="O219" s="4" t="s">
        <v>21</v>
      </c>
    </row>
    <row r="220" spans="1:15">
      <c r="A220" s="6" t="s">
        <v>237</v>
      </c>
      <c r="B220" s="3">
        <v>45821</v>
      </c>
      <c r="C220" s="4" t="s">
        <v>16</v>
      </c>
      <c r="D220" s="4" t="s">
        <v>17</v>
      </c>
      <c r="E220" s="4" t="s">
        <v>46</v>
      </c>
      <c r="F220" s="4" t="s">
        <v>49</v>
      </c>
      <c r="G220" s="4">
        <v>5</v>
      </c>
      <c r="H220" s="4">
        <v>297.06</v>
      </c>
      <c r="I220" s="4">
        <v>0.05</v>
      </c>
      <c r="J220" s="4">
        <v>1411.03</v>
      </c>
      <c r="K220" s="4">
        <v>897.21</v>
      </c>
      <c r="L220" s="4" t="s">
        <v>40</v>
      </c>
      <c r="M220" s="4">
        <v>6</v>
      </c>
      <c r="N220" s="4">
        <v>3</v>
      </c>
      <c r="O220" s="4" t="s">
        <v>21</v>
      </c>
    </row>
    <row r="221" spans="1:15">
      <c r="A221" s="6" t="s">
        <v>430</v>
      </c>
      <c r="B221" s="3">
        <v>45987</v>
      </c>
      <c r="C221" s="4" t="s">
        <v>29</v>
      </c>
      <c r="D221" s="4" t="s">
        <v>17</v>
      </c>
      <c r="E221" s="4" t="s">
        <v>18</v>
      </c>
      <c r="F221" s="4" t="s">
        <v>80</v>
      </c>
      <c r="G221" s="4">
        <v>4</v>
      </c>
      <c r="H221" s="4">
        <v>114.71</v>
      </c>
      <c r="I221" s="4">
        <v>0.05</v>
      </c>
      <c r="J221" s="4">
        <v>435.9</v>
      </c>
      <c r="K221" s="4">
        <v>203.53</v>
      </c>
      <c r="L221" s="4" t="s">
        <v>40</v>
      </c>
      <c r="M221" s="4">
        <v>3</v>
      </c>
      <c r="N221" s="4">
        <v>4</v>
      </c>
      <c r="O221" s="4" t="s">
        <v>21</v>
      </c>
    </row>
    <row r="222" spans="1:15">
      <c r="A222" s="6" t="s">
        <v>100</v>
      </c>
      <c r="B222" s="3">
        <v>45704</v>
      </c>
      <c r="C222" s="4" t="s">
        <v>29</v>
      </c>
      <c r="D222" s="4" t="s">
        <v>24</v>
      </c>
      <c r="E222" s="4" t="s">
        <v>46</v>
      </c>
      <c r="F222" s="4" t="s">
        <v>49</v>
      </c>
      <c r="G222" s="4">
        <v>1</v>
      </c>
      <c r="H222" s="4">
        <v>317.22000000000003</v>
      </c>
      <c r="I222" s="4">
        <v>0</v>
      </c>
      <c r="J222" s="4">
        <v>317.22000000000003</v>
      </c>
      <c r="K222" s="4">
        <v>186.78</v>
      </c>
      <c r="L222" s="4" t="s">
        <v>20</v>
      </c>
      <c r="M222" s="4"/>
      <c r="N222" s="4"/>
      <c r="O222" s="4" t="s">
        <v>21</v>
      </c>
    </row>
    <row r="223" spans="1:15">
      <c r="A223" s="6" t="s">
        <v>243</v>
      </c>
      <c r="B223" s="3">
        <v>45824</v>
      </c>
      <c r="C223" s="4" t="s">
        <v>16</v>
      </c>
      <c r="D223" s="4" t="s">
        <v>30</v>
      </c>
      <c r="E223" s="4" t="s">
        <v>25</v>
      </c>
      <c r="F223" s="4" t="s">
        <v>63</v>
      </c>
      <c r="G223" s="4">
        <v>1</v>
      </c>
      <c r="H223" s="4">
        <v>48.45</v>
      </c>
      <c r="I223" s="4">
        <v>0.05</v>
      </c>
      <c r="J223" s="4">
        <v>46.03</v>
      </c>
      <c r="K223" s="4">
        <v>19.75</v>
      </c>
      <c r="L223" s="4" t="s">
        <v>40</v>
      </c>
      <c r="M223" s="4">
        <v>7</v>
      </c>
      <c r="N223" s="4">
        <v>5</v>
      </c>
      <c r="O223" s="4" t="s">
        <v>21</v>
      </c>
    </row>
    <row r="224" spans="1:15">
      <c r="A224" s="6" t="s">
        <v>347</v>
      </c>
      <c r="B224" s="3">
        <v>45914</v>
      </c>
      <c r="C224" s="4" t="s">
        <v>23</v>
      </c>
      <c r="D224" s="4" t="s">
        <v>30</v>
      </c>
      <c r="E224" s="4" t="s">
        <v>46</v>
      </c>
      <c r="F224" s="4" t="s">
        <v>68</v>
      </c>
      <c r="G224" s="4">
        <v>4</v>
      </c>
      <c r="H224" s="4">
        <v>90.91</v>
      </c>
      <c r="I224" s="4">
        <v>0.1</v>
      </c>
      <c r="J224" s="4">
        <v>327.27999999999997</v>
      </c>
      <c r="K224" s="4">
        <v>200.83</v>
      </c>
      <c r="L224" s="4" t="s">
        <v>40</v>
      </c>
      <c r="M224" s="4">
        <v>6</v>
      </c>
      <c r="N224" s="4">
        <v>4</v>
      </c>
      <c r="O224" s="4" t="s">
        <v>21</v>
      </c>
    </row>
    <row r="225" spans="1:15">
      <c r="A225" s="6" t="s">
        <v>136</v>
      </c>
      <c r="B225" s="3">
        <v>45731</v>
      </c>
      <c r="C225" s="4" t="s">
        <v>16</v>
      </c>
      <c r="D225" s="4" t="s">
        <v>17</v>
      </c>
      <c r="E225" s="4" t="s">
        <v>18</v>
      </c>
      <c r="F225" s="4" t="s">
        <v>80</v>
      </c>
      <c r="G225" s="4">
        <v>5</v>
      </c>
      <c r="H225" s="4">
        <v>116.07</v>
      </c>
      <c r="I225" s="4">
        <v>0</v>
      </c>
      <c r="J225" s="4">
        <v>580.35</v>
      </c>
      <c r="K225" s="4">
        <v>296.45999999999998</v>
      </c>
      <c r="L225" s="4" t="s">
        <v>40</v>
      </c>
      <c r="M225" s="4">
        <v>1</v>
      </c>
      <c r="N225" s="4">
        <v>5</v>
      </c>
      <c r="O225" s="4" t="s">
        <v>21</v>
      </c>
    </row>
    <row r="226" spans="1:15">
      <c r="A226" s="6" t="s">
        <v>355</v>
      </c>
      <c r="B226" s="3">
        <v>45921</v>
      </c>
      <c r="C226" s="4" t="s">
        <v>23</v>
      </c>
      <c r="D226" s="4" t="s">
        <v>17</v>
      </c>
      <c r="E226" s="4" t="s">
        <v>35</v>
      </c>
      <c r="F226" s="4" t="s">
        <v>39</v>
      </c>
      <c r="G226" s="4">
        <v>3</v>
      </c>
      <c r="H226" s="4">
        <v>74.62</v>
      </c>
      <c r="I226" s="4">
        <v>0.2</v>
      </c>
      <c r="J226" s="4">
        <v>179.09</v>
      </c>
      <c r="K226" s="4">
        <v>90.33</v>
      </c>
      <c r="L226" s="4" t="s">
        <v>40</v>
      </c>
      <c r="M226" s="4">
        <v>1</v>
      </c>
      <c r="N226" s="4">
        <v>4</v>
      </c>
      <c r="O226" s="4" t="s">
        <v>21</v>
      </c>
    </row>
    <row r="227" spans="1:15">
      <c r="A227" s="6" t="s">
        <v>178</v>
      </c>
      <c r="B227" s="3">
        <v>45769</v>
      </c>
      <c r="C227" s="4" t="s">
        <v>16</v>
      </c>
      <c r="D227" s="4" t="s">
        <v>24</v>
      </c>
      <c r="E227" s="4" t="s">
        <v>46</v>
      </c>
      <c r="F227" s="4" t="s">
        <v>49</v>
      </c>
      <c r="G227" s="4">
        <v>3</v>
      </c>
      <c r="H227" s="4">
        <v>320.14999999999998</v>
      </c>
      <c r="I227" s="4">
        <v>0.15</v>
      </c>
      <c r="J227" s="4">
        <v>816.38</v>
      </c>
      <c r="K227" s="4">
        <v>612.97</v>
      </c>
      <c r="L227" s="4" t="s">
        <v>40</v>
      </c>
      <c r="M227" s="4">
        <v>6</v>
      </c>
      <c r="N227" s="4">
        <v>5</v>
      </c>
      <c r="O227" s="4" t="s">
        <v>21</v>
      </c>
    </row>
    <row r="228" spans="1:15">
      <c r="A228" s="6" t="s">
        <v>397</v>
      </c>
      <c r="B228" s="3">
        <v>45953</v>
      </c>
      <c r="C228" s="4" t="s">
        <v>16</v>
      </c>
      <c r="D228" s="4" t="s">
        <v>17</v>
      </c>
      <c r="E228" s="4" t="s">
        <v>18</v>
      </c>
      <c r="F228" s="4" t="s">
        <v>80</v>
      </c>
      <c r="G228" s="4">
        <v>2</v>
      </c>
      <c r="H228" s="4">
        <v>117.36</v>
      </c>
      <c r="I228" s="4">
        <v>0.15</v>
      </c>
      <c r="J228" s="4">
        <v>199.51</v>
      </c>
      <c r="K228" s="4">
        <v>110.54</v>
      </c>
      <c r="L228" s="4" t="s">
        <v>14</v>
      </c>
      <c r="M228" s="4">
        <v>8</v>
      </c>
      <c r="N228" s="4">
        <v>1</v>
      </c>
      <c r="O228" s="4" t="s">
        <v>27</v>
      </c>
    </row>
    <row r="229" spans="1:15">
      <c r="A229" s="6" t="s">
        <v>299</v>
      </c>
      <c r="B229" s="3">
        <v>45869</v>
      </c>
      <c r="C229" s="4" t="s">
        <v>16</v>
      </c>
      <c r="D229" s="4" t="s">
        <v>17</v>
      </c>
      <c r="E229" s="4" t="s">
        <v>35</v>
      </c>
      <c r="F229" s="4" t="s">
        <v>39</v>
      </c>
      <c r="G229" s="4">
        <v>3</v>
      </c>
      <c r="H229" s="4">
        <v>70.22</v>
      </c>
      <c r="I229" s="4">
        <v>0.1</v>
      </c>
      <c r="J229" s="4">
        <v>189.59</v>
      </c>
      <c r="K229" s="4">
        <v>98.69</v>
      </c>
      <c r="L229" s="4" t="s">
        <v>40</v>
      </c>
      <c r="M229" s="4">
        <v>4</v>
      </c>
      <c r="N229" s="4">
        <v>2</v>
      </c>
      <c r="O229" s="4" t="s">
        <v>21</v>
      </c>
    </row>
    <row r="230" spans="1:15">
      <c r="A230" s="6" t="s">
        <v>282</v>
      </c>
      <c r="B230" s="3">
        <v>45857</v>
      </c>
      <c r="C230" s="4" t="s">
        <v>23</v>
      </c>
      <c r="D230" s="4" t="s">
        <v>17</v>
      </c>
      <c r="E230" s="4" t="s">
        <v>25</v>
      </c>
      <c r="F230" s="4" t="s">
        <v>89</v>
      </c>
      <c r="G230" s="4">
        <v>3</v>
      </c>
      <c r="H230" s="4">
        <v>117.76</v>
      </c>
      <c r="I230" s="4">
        <v>0.05</v>
      </c>
      <c r="J230" s="4">
        <v>335.62</v>
      </c>
      <c r="K230" s="4">
        <v>157.80000000000001</v>
      </c>
      <c r="L230" s="4" t="s">
        <v>40</v>
      </c>
      <c r="M230" s="4">
        <v>2</v>
      </c>
      <c r="N230" s="4">
        <v>4</v>
      </c>
      <c r="O230" s="4" t="s">
        <v>21</v>
      </c>
    </row>
    <row r="231" spans="1:15">
      <c r="A231" s="6" t="s">
        <v>126</v>
      </c>
      <c r="B231" s="3">
        <v>45722</v>
      </c>
      <c r="C231" s="4" t="s">
        <v>71</v>
      </c>
      <c r="D231" s="4" t="s">
        <v>30</v>
      </c>
      <c r="E231" s="4" t="s">
        <v>18</v>
      </c>
      <c r="F231" s="4" t="s">
        <v>80</v>
      </c>
      <c r="G231" s="4">
        <v>3</v>
      </c>
      <c r="H231" s="4">
        <v>125.93</v>
      </c>
      <c r="I231" s="4">
        <v>0</v>
      </c>
      <c r="J231" s="4">
        <v>377.79</v>
      </c>
      <c r="K231" s="4">
        <v>155.25</v>
      </c>
      <c r="L231" s="4" t="s">
        <v>40</v>
      </c>
      <c r="M231" s="4">
        <v>2</v>
      </c>
      <c r="N231" s="4">
        <v>4</v>
      </c>
      <c r="O231" s="4" t="s">
        <v>21</v>
      </c>
    </row>
    <row r="232" spans="1:15">
      <c r="A232" s="6" t="s">
        <v>248</v>
      </c>
      <c r="B232" s="3">
        <v>45827</v>
      </c>
      <c r="C232" s="4" t="s">
        <v>29</v>
      </c>
      <c r="D232" s="4" t="s">
        <v>17</v>
      </c>
      <c r="E232" s="4" t="s">
        <v>25</v>
      </c>
      <c r="F232" s="4" t="s">
        <v>89</v>
      </c>
      <c r="G232" s="4">
        <v>4</v>
      </c>
      <c r="H232" s="4">
        <v>106.51</v>
      </c>
      <c r="I232" s="4">
        <v>0.2</v>
      </c>
      <c r="J232" s="4">
        <v>340.83</v>
      </c>
      <c r="K232" s="4">
        <v>196.78</v>
      </c>
      <c r="L232" s="4" t="s">
        <v>40</v>
      </c>
      <c r="M232" s="4">
        <v>5</v>
      </c>
      <c r="N232" s="4">
        <v>3</v>
      </c>
      <c r="O232" s="4" t="s">
        <v>21</v>
      </c>
    </row>
    <row r="233" spans="1:15">
      <c r="A233" s="6" t="s">
        <v>416</v>
      </c>
      <c r="B233" s="3">
        <v>45970</v>
      </c>
      <c r="C233" s="4" t="s">
        <v>16</v>
      </c>
      <c r="D233" s="4" t="s">
        <v>17</v>
      </c>
      <c r="E233" s="4" t="s">
        <v>46</v>
      </c>
      <c r="F233" s="4" t="s">
        <v>49</v>
      </c>
      <c r="G233" s="4">
        <v>1</v>
      </c>
      <c r="H233" s="4">
        <v>290.52999999999997</v>
      </c>
      <c r="I233" s="4">
        <v>0</v>
      </c>
      <c r="J233" s="4">
        <v>290.52999999999997</v>
      </c>
      <c r="K233" s="4">
        <v>178.09</v>
      </c>
      <c r="L233" s="4" t="s">
        <v>14</v>
      </c>
      <c r="M233" s="4">
        <v>7</v>
      </c>
      <c r="N233" s="4">
        <v>1</v>
      </c>
      <c r="O233" s="4" t="s">
        <v>27</v>
      </c>
    </row>
    <row r="234" spans="1:15">
      <c r="A234" s="6" t="s">
        <v>41</v>
      </c>
      <c r="B234" s="3">
        <v>45665</v>
      </c>
      <c r="C234" s="4" t="s">
        <v>16</v>
      </c>
      <c r="D234" s="4" t="s">
        <v>17</v>
      </c>
      <c r="E234" s="4" t="s">
        <v>35</v>
      </c>
      <c r="F234" s="4" t="s">
        <v>39</v>
      </c>
      <c r="G234" s="4">
        <v>1</v>
      </c>
      <c r="H234" s="4">
        <v>73.28</v>
      </c>
      <c r="I234" s="4">
        <v>0.05</v>
      </c>
      <c r="J234" s="4">
        <v>69.62</v>
      </c>
      <c r="K234" s="4">
        <v>31.18</v>
      </c>
      <c r="L234" s="4" t="s">
        <v>40</v>
      </c>
      <c r="M234" s="4">
        <v>3</v>
      </c>
      <c r="N234" s="4">
        <v>2</v>
      </c>
      <c r="O234" s="4" t="s">
        <v>21</v>
      </c>
    </row>
    <row r="235" spans="1:15">
      <c r="A235" s="6" t="s">
        <v>367</v>
      </c>
      <c r="B235" s="3">
        <v>45934</v>
      </c>
      <c r="C235" s="4" t="s">
        <v>29</v>
      </c>
      <c r="D235" s="4" t="s">
        <v>30</v>
      </c>
      <c r="E235" s="4" t="s">
        <v>25</v>
      </c>
      <c r="F235" s="4" t="s">
        <v>26</v>
      </c>
      <c r="G235" s="4">
        <v>3</v>
      </c>
      <c r="H235" s="4">
        <v>240.2</v>
      </c>
      <c r="I235" s="4">
        <v>0.15</v>
      </c>
      <c r="J235" s="4">
        <v>612.51</v>
      </c>
      <c r="K235" s="4">
        <v>391.99</v>
      </c>
      <c r="L235" s="4" t="s">
        <v>14</v>
      </c>
      <c r="M235" s="4">
        <v>1</v>
      </c>
      <c r="N235" s="4">
        <v>4</v>
      </c>
      <c r="O235" s="4" t="s">
        <v>27</v>
      </c>
    </row>
    <row r="236" spans="1:15">
      <c r="A236" s="6" t="s">
        <v>259</v>
      </c>
      <c r="B236" s="3">
        <v>45837</v>
      </c>
      <c r="C236" s="4" t="s">
        <v>23</v>
      </c>
      <c r="D236" s="4" t="s">
        <v>17</v>
      </c>
      <c r="E236" s="4" t="s">
        <v>31</v>
      </c>
      <c r="F236" s="4" t="s">
        <v>32</v>
      </c>
      <c r="G236" s="4">
        <v>0</v>
      </c>
      <c r="H236" s="4">
        <v>36.869999999999997</v>
      </c>
      <c r="I236" s="4">
        <v>0.05</v>
      </c>
      <c r="J236" s="4">
        <v>175.13</v>
      </c>
      <c r="K236" s="4">
        <v>89.17</v>
      </c>
      <c r="L236" s="4" t="s">
        <v>20</v>
      </c>
      <c r="M236" s="4"/>
      <c r="N236" s="4"/>
      <c r="O236" s="4" t="s">
        <v>21</v>
      </c>
    </row>
    <row r="237" spans="1:15">
      <c r="A237" s="6" t="s">
        <v>353</v>
      </c>
      <c r="B237" s="3">
        <v>45920</v>
      </c>
      <c r="C237" s="4" t="s">
        <v>38</v>
      </c>
      <c r="D237" s="4" t="s">
        <v>30</v>
      </c>
      <c r="E237" s="4" t="s">
        <v>31</v>
      </c>
      <c r="F237" s="4" t="s">
        <v>91</v>
      </c>
      <c r="G237" s="4">
        <v>3</v>
      </c>
      <c r="H237" s="4">
        <v>67.03</v>
      </c>
      <c r="I237" s="4">
        <v>0</v>
      </c>
      <c r="J237" s="4">
        <v>201.09</v>
      </c>
      <c r="K237" s="4">
        <v>94.4</v>
      </c>
      <c r="L237" s="4" t="s">
        <v>20</v>
      </c>
      <c r="M237" s="4"/>
      <c r="N237" s="4"/>
      <c r="O237" s="4" t="s">
        <v>21</v>
      </c>
    </row>
    <row r="238" spans="1:15">
      <c r="A238" s="6" t="s">
        <v>328</v>
      </c>
      <c r="B238" s="3">
        <v>45900</v>
      </c>
      <c r="C238" s="4" t="s">
        <v>29</v>
      </c>
      <c r="D238" s="4" t="s">
        <v>17</v>
      </c>
      <c r="E238" s="4" t="s">
        <v>25</v>
      </c>
      <c r="F238" s="4" t="s">
        <v>89</v>
      </c>
      <c r="G238" s="4">
        <v>5</v>
      </c>
      <c r="H238" s="4">
        <v>105.07</v>
      </c>
      <c r="I238" s="4">
        <v>0</v>
      </c>
      <c r="J238" s="4">
        <v>525.35</v>
      </c>
      <c r="K238" s="4">
        <v>256.43</v>
      </c>
      <c r="L238" s="4" t="s">
        <v>20</v>
      </c>
      <c r="M238" s="4"/>
      <c r="N238" s="4"/>
      <c r="O238" s="4" t="s">
        <v>21</v>
      </c>
    </row>
    <row r="239" spans="1:15">
      <c r="A239" s="6" t="s">
        <v>222</v>
      </c>
      <c r="B239" s="3">
        <v>45815</v>
      </c>
      <c r="C239" s="4" t="s">
        <v>29</v>
      </c>
      <c r="D239" s="4" t="s">
        <v>17</v>
      </c>
      <c r="E239" s="4" t="s">
        <v>35</v>
      </c>
      <c r="F239" s="4" t="s">
        <v>39</v>
      </c>
      <c r="G239" s="4">
        <v>5</v>
      </c>
      <c r="H239" s="4">
        <v>71.56</v>
      </c>
      <c r="I239" s="4">
        <v>0.15</v>
      </c>
      <c r="J239" s="4">
        <v>304.13</v>
      </c>
      <c r="K239" s="4">
        <v>170.08</v>
      </c>
      <c r="L239" s="4" t="s">
        <v>40</v>
      </c>
      <c r="M239" s="4">
        <v>6</v>
      </c>
      <c r="N239" s="4">
        <v>3</v>
      </c>
      <c r="O239" s="4" t="s">
        <v>21</v>
      </c>
    </row>
    <row r="240" spans="1:15">
      <c r="A240" s="6" t="s">
        <v>179</v>
      </c>
      <c r="B240" s="3">
        <v>45770</v>
      </c>
      <c r="C240" s="4" t="s">
        <v>29</v>
      </c>
      <c r="D240" s="4" t="s">
        <v>30</v>
      </c>
      <c r="E240" s="4" t="s">
        <v>35</v>
      </c>
      <c r="F240" s="4" t="s">
        <v>55</v>
      </c>
      <c r="G240" s="4">
        <v>2</v>
      </c>
      <c r="H240" s="4">
        <v>51.17</v>
      </c>
      <c r="I240" s="4">
        <v>0.05</v>
      </c>
      <c r="J240" s="4">
        <v>97.22</v>
      </c>
      <c r="K240" s="4">
        <v>42.96</v>
      </c>
      <c r="L240" s="4" t="s">
        <v>33</v>
      </c>
      <c r="M240" s="4"/>
      <c r="N240" s="4"/>
      <c r="O240" s="4" t="s">
        <v>21</v>
      </c>
    </row>
    <row r="241" spans="1:15">
      <c r="A241" s="6" t="s">
        <v>310</v>
      </c>
      <c r="B241" s="3">
        <v>45886</v>
      </c>
      <c r="C241" s="4" t="s">
        <v>16</v>
      </c>
      <c r="D241" s="4" t="s">
        <v>24</v>
      </c>
      <c r="E241" s="4" t="s">
        <v>35</v>
      </c>
      <c r="F241" s="4" t="s">
        <v>55</v>
      </c>
      <c r="G241" s="4">
        <v>4</v>
      </c>
      <c r="H241" s="4">
        <v>60.14</v>
      </c>
      <c r="I241" s="4">
        <v>0.1</v>
      </c>
      <c r="J241" s="4">
        <v>216.5</v>
      </c>
      <c r="K241" s="4">
        <v>92.76</v>
      </c>
      <c r="L241" s="4" t="s">
        <v>14</v>
      </c>
      <c r="M241" s="4">
        <v>5</v>
      </c>
      <c r="N241" s="4">
        <v>1</v>
      </c>
      <c r="O241" s="4" t="s">
        <v>27</v>
      </c>
    </row>
    <row r="242" spans="1:15">
      <c r="A242" s="6" t="s">
        <v>104</v>
      </c>
      <c r="B242" s="3">
        <v>45709</v>
      </c>
      <c r="C242" s="4" t="s">
        <v>38</v>
      </c>
      <c r="D242" s="4" t="s">
        <v>17</v>
      </c>
      <c r="E242" s="4" t="s">
        <v>31</v>
      </c>
      <c r="F242" s="4" t="s">
        <v>91</v>
      </c>
      <c r="G242" s="4">
        <v>3</v>
      </c>
      <c r="H242" s="4">
        <v>70.58</v>
      </c>
      <c r="I242" s="4">
        <v>0</v>
      </c>
      <c r="J242" s="4">
        <v>211.74</v>
      </c>
      <c r="K242" s="4">
        <v>95.72</v>
      </c>
      <c r="L242" s="4" t="s">
        <v>40</v>
      </c>
      <c r="M242" s="4">
        <v>5</v>
      </c>
      <c r="N242" s="4">
        <v>2</v>
      </c>
      <c r="O242" s="4" t="s">
        <v>21</v>
      </c>
    </row>
    <row r="243" spans="1:15">
      <c r="A243" s="6" t="s">
        <v>301</v>
      </c>
      <c r="B243" s="3">
        <v>45871</v>
      </c>
      <c r="C243" s="4" t="s">
        <v>16</v>
      </c>
      <c r="D243" s="4" t="s">
        <v>30</v>
      </c>
      <c r="E243" s="4" t="s">
        <v>31</v>
      </c>
      <c r="F243" s="4" t="s">
        <v>32</v>
      </c>
      <c r="G243" s="4">
        <v>1</v>
      </c>
      <c r="H243" s="4">
        <v>33.31</v>
      </c>
      <c r="I243" s="4">
        <v>0.05</v>
      </c>
      <c r="J243" s="4">
        <v>31.64</v>
      </c>
      <c r="K243" s="4">
        <v>17.440000000000001</v>
      </c>
      <c r="L243" s="4" t="s">
        <v>40</v>
      </c>
      <c r="M243" s="4">
        <v>3</v>
      </c>
      <c r="N243" s="4">
        <v>5</v>
      </c>
      <c r="O243" s="4" t="s">
        <v>21</v>
      </c>
    </row>
    <row r="244" spans="1:15">
      <c r="A244" s="6" t="s">
        <v>82</v>
      </c>
      <c r="B244" s="3">
        <v>45692</v>
      </c>
      <c r="C244" s="4" t="s">
        <v>16</v>
      </c>
      <c r="D244" s="4" t="s">
        <v>30</v>
      </c>
      <c r="E244" s="4" t="s">
        <v>46</v>
      </c>
      <c r="F244" s="4" t="s">
        <v>47</v>
      </c>
      <c r="G244" s="4">
        <v>2</v>
      </c>
      <c r="H244" s="4">
        <v>187.85</v>
      </c>
      <c r="I244" s="4">
        <v>0.1</v>
      </c>
      <c r="J244" s="4">
        <v>338.13</v>
      </c>
      <c r="K244" s="4">
        <v>188.26</v>
      </c>
      <c r="L244" s="4" t="s">
        <v>40</v>
      </c>
      <c r="M244" s="4">
        <v>2</v>
      </c>
      <c r="N244" s="4">
        <v>4</v>
      </c>
      <c r="O244" s="4" t="s">
        <v>21</v>
      </c>
    </row>
    <row r="245" spans="1:15">
      <c r="A245" s="6" t="s">
        <v>319</v>
      </c>
      <c r="B245" s="3">
        <v>45895</v>
      </c>
      <c r="C245" s="4" t="s">
        <v>23</v>
      </c>
      <c r="D245" s="4" t="s">
        <v>30</v>
      </c>
      <c r="E245" s="4" t="s">
        <v>31</v>
      </c>
      <c r="F245" s="4" t="s">
        <v>32</v>
      </c>
      <c r="G245" s="4">
        <v>2</v>
      </c>
      <c r="H245" s="4">
        <v>32.11</v>
      </c>
      <c r="I245" s="4">
        <v>0.15</v>
      </c>
      <c r="J245" s="4">
        <v>54.59</v>
      </c>
      <c r="K245" s="4">
        <v>31.9</v>
      </c>
      <c r="L245" s="4" t="s">
        <v>40</v>
      </c>
      <c r="M245" s="4">
        <v>3</v>
      </c>
      <c r="N245" s="4">
        <v>2</v>
      </c>
      <c r="O245" s="4" t="s">
        <v>21</v>
      </c>
    </row>
    <row r="246" spans="1:15">
      <c r="A246" s="6" t="s">
        <v>311</v>
      </c>
      <c r="B246" s="3">
        <v>45887</v>
      </c>
      <c r="C246" s="4" t="s">
        <v>38</v>
      </c>
      <c r="D246" s="4" t="s">
        <v>17</v>
      </c>
      <c r="E246" s="4" t="s">
        <v>35</v>
      </c>
      <c r="F246" s="4" t="s">
        <v>36</v>
      </c>
      <c r="G246" s="4">
        <v>3</v>
      </c>
      <c r="H246" s="4">
        <v>37.520000000000003</v>
      </c>
      <c r="I246" s="4">
        <v>0.05</v>
      </c>
      <c r="J246" s="4">
        <v>106.93</v>
      </c>
      <c r="K246" s="4">
        <v>44.68</v>
      </c>
      <c r="L246" s="4" t="s">
        <v>14</v>
      </c>
      <c r="M246" s="4">
        <v>3</v>
      </c>
      <c r="N246" s="4">
        <v>3</v>
      </c>
      <c r="O246" s="4" t="s">
        <v>27</v>
      </c>
    </row>
    <row r="247" spans="1:15">
      <c r="A247" s="6" t="s">
        <v>72</v>
      </c>
      <c r="B247" s="3">
        <v>45688</v>
      </c>
      <c r="C247" s="4" t="s">
        <v>38</v>
      </c>
      <c r="D247" s="4" t="s">
        <v>30</v>
      </c>
      <c r="E247" s="4" t="s">
        <v>25</v>
      </c>
      <c r="F247" s="4" t="s">
        <v>26</v>
      </c>
      <c r="G247" s="4">
        <v>1</v>
      </c>
      <c r="H247" s="4">
        <v>220.51</v>
      </c>
      <c r="I247" s="4">
        <v>0.1</v>
      </c>
      <c r="J247" s="4">
        <v>198.46</v>
      </c>
      <c r="K247" s="4">
        <v>139.36000000000001</v>
      </c>
      <c r="L247" s="4" t="s">
        <v>40</v>
      </c>
      <c r="M247" s="4">
        <v>4</v>
      </c>
      <c r="N247" s="4">
        <v>1</v>
      </c>
      <c r="O247" s="4" t="s">
        <v>21</v>
      </c>
    </row>
    <row r="248" spans="1:15">
      <c r="A248" s="6" t="s">
        <v>368</v>
      </c>
      <c r="B248" s="3">
        <v>45934</v>
      </c>
      <c r="C248" s="4" t="s">
        <v>16</v>
      </c>
      <c r="D248" s="4" t="s">
        <v>17</v>
      </c>
      <c r="E248" s="4" t="s">
        <v>35</v>
      </c>
      <c r="F248" s="4" t="s">
        <v>36</v>
      </c>
      <c r="G248" s="4">
        <v>2</v>
      </c>
      <c r="H248" s="4">
        <v>38.369999999999997</v>
      </c>
      <c r="I248" s="4">
        <v>0.05</v>
      </c>
      <c r="J248" s="4">
        <v>72.900000000000006</v>
      </c>
      <c r="K248" s="4">
        <v>26.03</v>
      </c>
      <c r="L248" s="4" t="s">
        <v>40</v>
      </c>
      <c r="M248" s="4">
        <v>3</v>
      </c>
      <c r="N248" s="4">
        <v>1</v>
      </c>
      <c r="O248" s="4" t="s">
        <v>21</v>
      </c>
    </row>
    <row r="249" spans="1:15">
      <c r="A249" s="6" t="s">
        <v>219</v>
      </c>
      <c r="B249" s="3">
        <v>45809</v>
      </c>
      <c r="C249" s="4" t="s">
        <v>38</v>
      </c>
      <c r="D249" s="4" t="s">
        <v>17</v>
      </c>
      <c r="E249" s="4" t="s">
        <v>35</v>
      </c>
      <c r="F249" s="4" t="s">
        <v>39</v>
      </c>
      <c r="G249" s="4">
        <v>2</v>
      </c>
      <c r="H249" s="4">
        <v>72.680000000000007</v>
      </c>
      <c r="I249" s="4">
        <v>0.05</v>
      </c>
      <c r="J249" s="4">
        <v>138.09</v>
      </c>
      <c r="K249" s="4">
        <v>64.349999999999994</v>
      </c>
      <c r="L249" s="4" t="s">
        <v>33</v>
      </c>
      <c r="M249" s="4"/>
      <c r="N249" s="4"/>
      <c r="O249" s="4" t="s">
        <v>21</v>
      </c>
    </row>
    <row r="250" spans="1:15">
      <c r="A250" s="6" t="s">
        <v>387</v>
      </c>
      <c r="B250" s="3">
        <v>45945</v>
      </c>
      <c r="C250" s="4" t="s">
        <v>29</v>
      </c>
      <c r="D250" s="4" t="s">
        <v>24</v>
      </c>
      <c r="E250" s="4" t="s">
        <v>25</v>
      </c>
      <c r="F250" s="4" t="s">
        <v>26</v>
      </c>
      <c r="G250" s="4">
        <v>5</v>
      </c>
      <c r="H250" s="4">
        <v>259.67</v>
      </c>
      <c r="I250" s="4">
        <v>0.05</v>
      </c>
      <c r="J250" s="4">
        <v>1233.43</v>
      </c>
      <c r="K250" s="4">
        <v>680.54</v>
      </c>
      <c r="L250" s="4" t="s">
        <v>40</v>
      </c>
      <c r="M250" s="4">
        <v>1</v>
      </c>
      <c r="N250" s="4">
        <v>3</v>
      </c>
      <c r="O250" s="4" t="s">
        <v>21</v>
      </c>
    </row>
    <row r="251" spans="1:15">
      <c r="A251" s="6" t="s">
        <v>56</v>
      </c>
      <c r="B251" s="3">
        <v>45673</v>
      </c>
      <c r="C251" s="4" t="s">
        <v>29</v>
      </c>
      <c r="D251" s="4" t="s">
        <v>24</v>
      </c>
      <c r="E251" s="4" t="s">
        <v>18</v>
      </c>
      <c r="F251" s="4" t="s">
        <v>57</v>
      </c>
      <c r="G251" s="4">
        <v>1</v>
      </c>
      <c r="H251" s="4">
        <v>41.64</v>
      </c>
      <c r="I251" s="4">
        <v>0.1</v>
      </c>
      <c r="J251" s="4">
        <v>37.479999999999997</v>
      </c>
      <c r="K251" s="4">
        <v>18.72</v>
      </c>
      <c r="L251" s="4" t="s">
        <v>40</v>
      </c>
      <c r="M251" s="4">
        <v>7</v>
      </c>
      <c r="N251" s="4">
        <v>5</v>
      </c>
      <c r="O251" s="4" t="s">
        <v>21</v>
      </c>
    </row>
    <row r="252" spans="1:15">
      <c r="A252" s="6" t="s">
        <v>128</v>
      </c>
      <c r="B252" s="3">
        <v>45723</v>
      </c>
      <c r="C252" s="4" t="s">
        <v>29</v>
      </c>
      <c r="D252" s="4" t="s">
        <v>17</v>
      </c>
      <c r="E252" s="4" t="s">
        <v>25</v>
      </c>
      <c r="F252" s="4" t="s">
        <v>63</v>
      </c>
      <c r="G252" s="4">
        <v>4</v>
      </c>
      <c r="H252" s="4">
        <v>53.42</v>
      </c>
      <c r="I252" s="4">
        <v>0.1</v>
      </c>
      <c r="J252" s="4">
        <v>192.31</v>
      </c>
      <c r="K252" s="4">
        <v>84.72</v>
      </c>
      <c r="L252" s="4" t="s">
        <v>40</v>
      </c>
      <c r="M252" s="4">
        <v>1</v>
      </c>
      <c r="N252" s="4">
        <v>1</v>
      </c>
      <c r="O252" s="4" t="s">
        <v>21</v>
      </c>
    </row>
    <row r="253" spans="1:15">
      <c r="A253" s="6" t="s">
        <v>263</v>
      </c>
      <c r="B253" s="3">
        <v>45838</v>
      </c>
      <c r="C253" s="4" t="s">
        <v>16</v>
      </c>
      <c r="D253" s="4" t="s">
        <v>17</v>
      </c>
      <c r="E253" s="4" t="s">
        <v>25</v>
      </c>
      <c r="F253" s="4" t="s">
        <v>63</v>
      </c>
      <c r="G253" s="4">
        <v>3</v>
      </c>
      <c r="H253" s="4">
        <v>48.39</v>
      </c>
      <c r="I253" s="4">
        <v>0</v>
      </c>
      <c r="J253" s="4">
        <v>145.16999999999999</v>
      </c>
      <c r="K253" s="4">
        <v>61.96</v>
      </c>
      <c r="L253" s="4" t="s">
        <v>40</v>
      </c>
      <c r="M253" s="4">
        <v>4</v>
      </c>
      <c r="N253" s="4">
        <v>5</v>
      </c>
      <c r="O253" s="4" t="s">
        <v>21</v>
      </c>
    </row>
    <row r="254" spans="1:15">
      <c r="A254" s="6" t="s">
        <v>131</v>
      </c>
      <c r="B254" s="3">
        <v>45726</v>
      </c>
      <c r="C254" s="4" t="s">
        <v>29</v>
      </c>
      <c r="D254" s="4" t="s">
        <v>17</v>
      </c>
      <c r="E254" s="4" t="s">
        <v>46</v>
      </c>
      <c r="F254" s="4" t="s">
        <v>26</v>
      </c>
      <c r="G254" s="4">
        <v>1</v>
      </c>
      <c r="H254" s="4">
        <v>262.66000000000003</v>
      </c>
      <c r="I254" s="4">
        <v>0</v>
      </c>
      <c r="J254" s="4">
        <v>262.66000000000003</v>
      </c>
      <c r="K254" s="4">
        <v>134.33000000000001</v>
      </c>
      <c r="L254" s="4" t="s">
        <v>33</v>
      </c>
      <c r="M254" s="4"/>
      <c r="N254" s="4"/>
      <c r="O254" s="4" t="s">
        <v>21</v>
      </c>
    </row>
    <row r="255" spans="1:15">
      <c r="A255" s="6" t="s">
        <v>191</v>
      </c>
      <c r="B255" s="3">
        <v>45778</v>
      </c>
      <c r="C255" s="4" t="s">
        <v>23</v>
      </c>
      <c r="D255" s="4" t="s">
        <v>30</v>
      </c>
      <c r="E255" s="4" t="s">
        <v>46</v>
      </c>
      <c r="F255" s="4" t="s">
        <v>49</v>
      </c>
      <c r="G255" s="4">
        <v>1</v>
      </c>
      <c r="H255" s="4">
        <v>288.31</v>
      </c>
      <c r="I255" s="4">
        <v>0</v>
      </c>
      <c r="J255" s="4">
        <v>288.31</v>
      </c>
      <c r="K255" s="4">
        <v>196.98</v>
      </c>
      <c r="L255" s="4" t="s">
        <v>20</v>
      </c>
      <c r="M255" s="4"/>
      <c r="N255" s="4"/>
      <c r="O255" s="4" t="s">
        <v>21</v>
      </c>
    </row>
    <row r="256" spans="1:15">
      <c r="A256" s="6" t="s">
        <v>325</v>
      </c>
      <c r="B256" s="3">
        <v>45899</v>
      </c>
      <c r="C256" s="4" t="s">
        <v>29</v>
      </c>
      <c r="D256" s="4" t="s">
        <v>30</v>
      </c>
      <c r="E256" s="4" t="s">
        <v>18</v>
      </c>
      <c r="F256" s="4" t="s">
        <v>80</v>
      </c>
      <c r="G256" s="4">
        <v>3</v>
      </c>
      <c r="H256" s="4">
        <v>115.79</v>
      </c>
      <c r="I256" s="4">
        <v>0.05</v>
      </c>
      <c r="J256" s="4">
        <v>330</v>
      </c>
      <c r="K256" s="4">
        <v>165.57</v>
      </c>
      <c r="L256" s="4" t="s">
        <v>40</v>
      </c>
      <c r="M256" s="4">
        <v>4</v>
      </c>
      <c r="N256" s="4">
        <v>4</v>
      </c>
      <c r="O256" s="4" t="s">
        <v>21</v>
      </c>
    </row>
    <row r="257" spans="1:15">
      <c r="A257" s="6" t="s">
        <v>110</v>
      </c>
      <c r="B257" s="3">
        <v>45710</v>
      </c>
      <c r="C257" s="4" t="s">
        <v>16</v>
      </c>
      <c r="D257" s="4" t="s">
        <v>30</v>
      </c>
      <c r="E257" s="4" t="s">
        <v>46</v>
      </c>
      <c r="F257" s="4" t="s">
        <v>68</v>
      </c>
      <c r="G257" s="4">
        <v>2</v>
      </c>
      <c r="H257" s="4">
        <v>92.19</v>
      </c>
      <c r="I257" s="4">
        <v>0</v>
      </c>
      <c r="J257" s="4">
        <v>184.38</v>
      </c>
      <c r="K257" s="4">
        <v>92.74</v>
      </c>
      <c r="L257" s="4" t="s">
        <v>40</v>
      </c>
      <c r="M257" s="4">
        <v>7</v>
      </c>
      <c r="N257" s="4">
        <v>3</v>
      </c>
      <c r="O257" s="4" t="s">
        <v>21</v>
      </c>
    </row>
    <row r="258" spans="1:15">
      <c r="A258" s="6" t="s">
        <v>336</v>
      </c>
      <c r="B258" s="3">
        <v>45905</v>
      </c>
      <c r="C258" s="4" t="s">
        <v>23</v>
      </c>
      <c r="D258" s="4" t="s">
        <v>17</v>
      </c>
      <c r="E258" s="4" t="s">
        <v>31</v>
      </c>
      <c r="F258" s="4" t="s">
        <v>59</v>
      </c>
      <c r="G258" s="4">
        <v>1</v>
      </c>
      <c r="H258" s="4">
        <v>47.07</v>
      </c>
      <c r="I258" s="4">
        <v>0</v>
      </c>
      <c r="J258" s="4">
        <v>47.07</v>
      </c>
      <c r="K258" s="4">
        <v>25.19</v>
      </c>
      <c r="L258" s="4" t="s">
        <v>40</v>
      </c>
      <c r="M258" s="4">
        <v>3</v>
      </c>
      <c r="N258" s="4">
        <v>1</v>
      </c>
      <c r="O258" s="4" t="s">
        <v>21</v>
      </c>
    </row>
    <row r="259" spans="1:15">
      <c r="A259" s="6" t="s">
        <v>87</v>
      </c>
      <c r="B259" s="3">
        <v>45695</v>
      </c>
      <c r="C259" s="4" t="s">
        <v>16</v>
      </c>
      <c r="D259" s="4" t="s">
        <v>17</v>
      </c>
      <c r="E259" s="4" t="s">
        <v>18</v>
      </c>
      <c r="F259" s="4" t="s">
        <v>80</v>
      </c>
      <c r="G259" s="4">
        <v>3</v>
      </c>
      <c r="H259" s="4">
        <v>117.04</v>
      </c>
      <c r="I259" s="4">
        <v>0.1</v>
      </c>
      <c r="J259" s="4">
        <v>316.01</v>
      </c>
      <c r="K259" s="4">
        <v>173.63</v>
      </c>
      <c r="L259" s="4" t="s">
        <v>40</v>
      </c>
      <c r="M259" s="4">
        <v>1</v>
      </c>
      <c r="N259" s="4">
        <v>4</v>
      </c>
      <c r="O259" s="4" t="s">
        <v>21</v>
      </c>
    </row>
    <row r="260" spans="1:15">
      <c r="A260" s="6" t="s">
        <v>124</v>
      </c>
      <c r="B260" s="3">
        <v>45721</v>
      </c>
      <c r="C260" s="4" t="s">
        <v>38</v>
      </c>
      <c r="D260" s="4" t="s">
        <v>17</v>
      </c>
      <c r="E260" s="4" t="s">
        <v>31</v>
      </c>
      <c r="F260" s="4" t="s">
        <v>59</v>
      </c>
      <c r="G260" s="4">
        <v>2</v>
      </c>
      <c r="H260" s="4">
        <v>43.86</v>
      </c>
      <c r="I260" s="4">
        <v>0.1</v>
      </c>
      <c r="J260" s="4">
        <v>78.95</v>
      </c>
      <c r="K260" s="4">
        <v>51.15</v>
      </c>
      <c r="L260" s="4" t="s">
        <v>33</v>
      </c>
      <c r="M260" s="4"/>
      <c r="N260" s="4"/>
      <c r="O260" s="4" t="s">
        <v>21</v>
      </c>
    </row>
    <row r="261" spans="1:15">
      <c r="A261" s="6" t="s">
        <v>302</v>
      </c>
      <c r="B261" s="3">
        <v>45872</v>
      </c>
      <c r="C261" s="4" t="s">
        <v>16</v>
      </c>
      <c r="D261" s="4" t="s">
        <v>17</v>
      </c>
      <c r="E261" s="4" t="s">
        <v>25</v>
      </c>
      <c r="F261" s="4" t="s">
        <v>26</v>
      </c>
      <c r="G261" s="4">
        <v>1</v>
      </c>
      <c r="H261" s="4">
        <v>256.11</v>
      </c>
      <c r="I261" s="4">
        <v>0.15</v>
      </c>
      <c r="J261" s="4">
        <v>217.69</v>
      </c>
      <c r="K261" s="4">
        <v>121.45</v>
      </c>
      <c r="L261" s="4" t="s">
        <v>40</v>
      </c>
      <c r="M261" s="4">
        <v>5</v>
      </c>
      <c r="N261" s="4">
        <v>5</v>
      </c>
      <c r="O261" s="4" t="s">
        <v>21</v>
      </c>
    </row>
    <row r="262" spans="1:15">
      <c r="A262" s="6" t="s">
        <v>390</v>
      </c>
      <c r="B262" s="3">
        <v>45947</v>
      </c>
      <c r="C262" s="4" t="s">
        <v>23</v>
      </c>
      <c r="D262" s="4" t="s">
        <v>17</v>
      </c>
      <c r="E262" s="4" t="s">
        <v>35</v>
      </c>
      <c r="F262" s="4" t="s">
        <v>55</v>
      </c>
      <c r="G262" s="4">
        <v>3</v>
      </c>
      <c r="H262" s="4">
        <v>58.25</v>
      </c>
      <c r="I262" s="4">
        <v>0.05</v>
      </c>
      <c r="J262" s="4">
        <v>166.01</v>
      </c>
      <c r="K262" s="4">
        <v>65.88</v>
      </c>
      <c r="L262" s="4" t="s">
        <v>40</v>
      </c>
      <c r="M262" s="4">
        <v>5</v>
      </c>
      <c r="N262" s="4">
        <v>3</v>
      </c>
      <c r="O262" s="4" t="s">
        <v>21</v>
      </c>
    </row>
    <row r="263" spans="1:15">
      <c r="A263" s="6" t="s">
        <v>123</v>
      </c>
      <c r="B263" s="3">
        <v>45720</v>
      </c>
      <c r="C263" s="4" t="s">
        <v>16</v>
      </c>
      <c r="D263" s="4" t="s">
        <v>17</v>
      </c>
      <c r="E263" s="4" t="s">
        <v>46</v>
      </c>
      <c r="F263" s="4" t="s">
        <v>68</v>
      </c>
      <c r="G263" s="4">
        <v>2</v>
      </c>
      <c r="H263" s="4">
        <v>98.14</v>
      </c>
      <c r="I263" s="4">
        <v>0.15</v>
      </c>
      <c r="J263" s="4">
        <v>166.84</v>
      </c>
      <c r="K263" s="4">
        <v>98.84</v>
      </c>
      <c r="L263" s="4" t="s">
        <v>40</v>
      </c>
      <c r="M263" s="4">
        <v>1</v>
      </c>
      <c r="N263" s="4">
        <v>2</v>
      </c>
      <c r="O263" s="4" t="s">
        <v>21</v>
      </c>
    </row>
    <row r="264" spans="1:15">
      <c r="A264" s="6" t="s">
        <v>174</v>
      </c>
      <c r="B264" s="3">
        <v>45767</v>
      </c>
      <c r="C264" s="4" t="s">
        <v>16</v>
      </c>
      <c r="D264" s="4" t="s">
        <v>30</v>
      </c>
      <c r="E264" s="4" t="s">
        <v>18</v>
      </c>
      <c r="F264" s="4" t="s">
        <v>80</v>
      </c>
      <c r="G264" s="4">
        <v>3</v>
      </c>
      <c r="H264" s="4">
        <v>115.33</v>
      </c>
      <c r="I264" s="4">
        <v>0</v>
      </c>
      <c r="J264" s="4">
        <v>345.99</v>
      </c>
      <c r="K264" s="4">
        <v>158.41999999999999</v>
      </c>
      <c r="L264" s="4" t="s">
        <v>14</v>
      </c>
      <c r="M264" s="4">
        <v>3</v>
      </c>
      <c r="N264" s="4">
        <v>6</v>
      </c>
      <c r="O264" s="4" t="s">
        <v>27</v>
      </c>
    </row>
    <row r="265" spans="1:15">
      <c r="A265" s="6" t="s">
        <v>437</v>
      </c>
      <c r="B265" s="3">
        <v>45995</v>
      </c>
      <c r="C265" s="4" t="s">
        <v>16</v>
      </c>
      <c r="D265" s="4" t="s">
        <v>17</v>
      </c>
      <c r="E265" s="4" t="s">
        <v>46</v>
      </c>
      <c r="F265" s="4" t="s">
        <v>49</v>
      </c>
      <c r="G265" s="4">
        <v>3</v>
      </c>
      <c r="H265" s="4">
        <v>303.2</v>
      </c>
      <c r="I265" s="4">
        <v>0.15</v>
      </c>
      <c r="J265" s="4">
        <v>773.16</v>
      </c>
      <c r="K265" s="4">
        <v>538.13</v>
      </c>
      <c r="L265" s="4" t="s">
        <v>33</v>
      </c>
      <c r="M265" s="4"/>
      <c r="N265" s="4"/>
      <c r="O265" s="4" t="s">
        <v>21</v>
      </c>
    </row>
    <row r="266" spans="1:15">
      <c r="A266" s="6" t="s">
        <v>462</v>
      </c>
      <c r="B266" s="3">
        <v>46019</v>
      </c>
      <c r="C266" s="4" t="s">
        <v>38</v>
      </c>
      <c r="D266" s="4" t="s">
        <v>17</v>
      </c>
      <c r="E266" s="4" t="s">
        <v>25</v>
      </c>
      <c r="F266" s="4" t="s">
        <v>26</v>
      </c>
      <c r="G266" s="4">
        <v>5</v>
      </c>
      <c r="H266" s="4">
        <v>251.91</v>
      </c>
      <c r="I266" s="4">
        <v>0</v>
      </c>
      <c r="J266" s="4">
        <v>1259.55</v>
      </c>
      <c r="K266" s="4">
        <v>605.47</v>
      </c>
      <c r="L266" s="4" t="s">
        <v>20</v>
      </c>
      <c r="M266" s="4"/>
      <c r="N266" s="4"/>
      <c r="O266" s="4" t="s">
        <v>21</v>
      </c>
    </row>
    <row r="267" spans="1:15">
      <c r="A267" s="6" t="s">
        <v>300</v>
      </c>
      <c r="B267" s="3">
        <v>45870</v>
      </c>
      <c r="C267" s="4" t="s">
        <v>16</v>
      </c>
      <c r="D267" s="4" t="s">
        <v>24</v>
      </c>
      <c r="E267" s="4" t="s">
        <v>46</v>
      </c>
      <c r="F267" s="4" t="s">
        <v>49</v>
      </c>
      <c r="G267" s="4">
        <v>2</v>
      </c>
      <c r="H267" s="4">
        <v>304.49</v>
      </c>
      <c r="I267" s="4">
        <v>0.2</v>
      </c>
      <c r="J267" s="4">
        <v>487.18</v>
      </c>
      <c r="K267" s="4">
        <v>361.12</v>
      </c>
      <c r="L267" s="4" t="s">
        <v>33</v>
      </c>
      <c r="M267" s="4"/>
      <c r="N267" s="4"/>
      <c r="O267" s="4" t="s">
        <v>21</v>
      </c>
    </row>
    <row r="268" spans="1:15">
      <c r="A268" s="6" t="s">
        <v>238</v>
      </c>
      <c r="B268" s="3">
        <v>45821</v>
      </c>
      <c r="C268" s="4" t="s">
        <v>29</v>
      </c>
      <c r="D268" s="4" t="s">
        <v>17</v>
      </c>
      <c r="E268" s="4" t="s">
        <v>25</v>
      </c>
      <c r="F268" s="4" t="s">
        <v>26</v>
      </c>
      <c r="G268" s="4">
        <v>4</v>
      </c>
      <c r="H268" s="4">
        <v>258.83999999999997</v>
      </c>
      <c r="I268" s="4">
        <v>0.1</v>
      </c>
      <c r="J268" s="4">
        <v>931.82</v>
      </c>
      <c r="K268" s="4">
        <v>545.44000000000005</v>
      </c>
      <c r="L268" s="4" t="s">
        <v>40</v>
      </c>
      <c r="M268" s="4">
        <v>2</v>
      </c>
      <c r="N268" s="4">
        <v>5</v>
      </c>
      <c r="O268" s="4" t="s">
        <v>21</v>
      </c>
    </row>
    <row r="269" spans="1:15">
      <c r="A269" s="6" t="s">
        <v>197</v>
      </c>
      <c r="B269" s="3">
        <v>45784</v>
      </c>
      <c r="C269" s="4" t="s">
        <v>29</v>
      </c>
      <c r="D269" s="4" t="s">
        <v>17</v>
      </c>
      <c r="E269" s="4" t="s">
        <v>31</v>
      </c>
      <c r="F269" s="4" t="s">
        <v>91</v>
      </c>
      <c r="G269" s="4">
        <v>3</v>
      </c>
      <c r="H269" s="4">
        <v>63.92</v>
      </c>
      <c r="I269" s="4">
        <v>0.2</v>
      </c>
      <c r="J269" s="4">
        <v>153.41</v>
      </c>
      <c r="K269" s="4">
        <v>102.61</v>
      </c>
      <c r="L269" s="4" t="s">
        <v>33</v>
      </c>
      <c r="M269" s="4"/>
      <c r="N269" s="4"/>
      <c r="O269" s="4" t="s">
        <v>21</v>
      </c>
    </row>
    <row r="270" spans="1:15">
      <c r="A270" s="6" t="s">
        <v>307</v>
      </c>
      <c r="B270" s="3">
        <v>45881</v>
      </c>
      <c r="C270" s="4" t="s">
        <v>38</v>
      </c>
      <c r="D270" s="4" t="s">
        <v>17</v>
      </c>
      <c r="E270" s="4" t="s">
        <v>35</v>
      </c>
      <c r="F270" s="4" t="s">
        <v>36</v>
      </c>
      <c r="G270" s="4">
        <v>3</v>
      </c>
      <c r="H270" s="4">
        <v>43.45</v>
      </c>
      <c r="I270" s="4">
        <v>0</v>
      </c>
      <c r="J270" s="4">
        <v>130.35</v>
      </c>
      <c r="K270" s="4">
        <v>39.47</v>
      </c>
      <c r="L270" s="4" t="s">
        <v>40</v>
      </c>
      <c r="M270" s="4">
        <v>2</v>
      </c>
      <c r="N270" s="4">
        <v>1</v>
      </c>
      <c r="O270" s="4" t="s">
        <v>21</v>
      </c>
    </row>
    <row r="271" spans="1:15">
      <c r="A271" s="6" t="s">
        <v>303</v>
      </c>
      <c r="B271" s="3">
        <v>45873</v>
      </c>
      <c r="C271" s="4" t="s">
        <v>71</v>
      </c>
      <c r="D271" s="4" t="s">
        <v>24</v>
      </c>
      <c r="E271" s="4" t="s">
        <v>25</v>
      </c>
      <c r="F271" s="4" t="s">
        <v>63</v>
      </c>
      <c r="G271" s="4">
        <v>1</v>
      </c>
      <c r="H271" s="4">
        <v>51.32</v>
      </c>
      <c r="I271" s="4">
        <v>0.1</v>
      </c>
      <c r="J271" s="4">
        <v>46.19</v>
      </c>
      <c r="K271" s="4">
        <v>20.82</v>
      </c>
      <c r="L271" s="4" t="s">
        <v>40</v>
      </c>
      <c r="M271" s="4">
        <v>8</v>
      </c>
      <c r="N271" s="4">
        <v>3</v>
      </c>
      <c r="O271" s="4" t="s">
        <v>21</v>
      </c>
    </row>
    <row r="272" spans="1:15">
      <c r="A272" s="6" t="s">
        <v>171</v>
      </c>
      <c r="B272" s="3">
        <v>45765</v>
      </c>
      <c r="C272" s="4" t="s">
        <v>38</v>
      </c>
      <c r="D272" s="4" t="s">
        <v>30</v>
      </c>
      <c r="E272" s="4" t="s">
        <v>35</v>
      </c>
      <c r="F272" s="4" t="s">
        <v>36</v>
      </c>
      <c r="G272" s="4">
        <v>4</v>
      </c>
      <c r="H272" s="4">
        <v>40.700000000000003</v>
      </c>
      <c r="I272" s="4">
        <v>0.2</v>
      </c>
      <c r="J272" s="4">
        <v>130.24</v>
      </c>
      <c r="K272" s="4">
        <v>57.47</v>
      </c>
      <c r="L272" s="4" t="s">
        <v>40</v>
      </c>
      <c r="M272" s="4">
        <v>4</v>
      </c>
      <c r="N272" s="4">
        <v>3</v>
      </c>
      <c r="O272" s="4" t="s">
        <v>21</v>
      </c>
    </row>
    <row r="273" spans="1:15">
      <c r="A273" s="6" t="s">
        <v>45</v>
      </c>
      <c r="B273" s="3">
        <v>45666</v>
      </c>
      <c r="C273" s="4" t="s">
        <v>29</v>
      </c>
      <c r="D273" s="4" t="s">
        <v>24</v>
      </c>
      <c r="E273" s="4" t="s">
        <v>46</v>
      </c>
      <c r="F273" s="4" t="s">
        <v>47</v>
      </c>
      <c r="G273" s="4">
        <v>4</v>
      </c>
      <c r="H273" s="4">
        <v>182.58</v>
      </c>
      <c r="I273" s="4">
        <v>0.05</v>
      </c>
      <c r="J273" s="4">
        <v>693.8</v>
      </c>
      <c r="K273" s="4">
        <v>352.58</v>
      </c>
      <c r="L273" s="4" t="s">
        <v>40</v>
      </c>
      <c r="M273" s="4">
        <v>7</v>
      </c>
      <c r="N273" s="4">
        <v>3</v>
      </c>
      <c r="O273" s="4" t="s">
        <v>21</v>
      </c>
    </row>
    <row r="274" spans="1:15">
      <c r="A274" s="6" t="s">
        <v>112</v>
      </c>
      <c r="B274" s="3">
        <v>45713</v>
      </c>
      <c r="C274" s="4" t="s">
        <v>29</v>
      </c>
      <c r="D274" s="4" t="s">
        <v>17</v>
      </c>
      <c r="E274" s="4" t="s">
        <v>25</v>
      </c>
      <c r="F274" s="4" t="s">
        <v>89</v>
      </c>
      <c r="G274" s="4">
        <v>4</v>
      </c>
      <c r="H274" s="4">
        <v>116.39</v>
      </c>
      <c r="I274" s="4">
        <v>0.1</v>
      </c>
      <c r="J274" s="4">
        <v>419</v>
      </c>
      <c r="K274" s="4">
        <v>212.15</v>
      </c>
      <c r="L274" s="4" t="s">
        <v>14</v>
      </c>
      <c r="M274" s="4">
        <v>5</v>
      </c>
      <c r="N274" s="4">
        <v>1</v>
      </c>
      <c r="O274" s="4" t="s">
        <v>27</v>
      </c>
    </row>
    <row r="275" spans="1:15">
      <c r="A275" s="6" t="s">
        <v>449</v>
      </c>
      <c r="B275" s="3">
        <v>46007</v>
      </c>
      <c r="C275" s="4" t="s">
        <v>16</v>
      </c>
      <c r="D275" s="4" t="s">
        <v>24</v>
      </c>
      <c r="E275" s="4" t="s">
        <v>18</v>
      </c>
      <c r="F275" s="4" t="s">
        <v>80</v>
      </c>
      <c r="G275" s="4">
        <v>5</v>
      </c>
      <c r="H275" s="4">
        <v>110.17</v>
      </c>
      <c r="I275" s="4">
        <v>0.1</v>
      </c>
      <c r="J275" s="4">
        <v>495.77</v>
      </c>
      <c r="K275" s="4">
        <v>279.06</v>
      </c>
      <c r="L275" s="4" t="s">
        <v>14</v>
      </c>
      <c r="M275" s="4">
        <v>8</v>
      </c>
      <c r="N275" s="4">
        <v>5</v>
      </c>
      <c r="O275" s="4" t="s">
        <v>27</v>
      </c>
    </row>
    <row r="276" spans="1:15">
      <c r="A276" s="6" t="s">
        <v>220</v>
      </c>
      <c r="B276" s="3">
        <v>45810</v>
      </c>
      <c r="C276" s="4" t="s">
        <v>29</v>
      </c>
      <c r="D276" s="4" t="s">
        <v>17</v>
      </c>
      <c r="E276" s="4" t="s">
        <v>25</v>
      </c>
      <c r="F276" s="4" t="s">
        <v>63</v>
      </c>
      <c r="G276" s="4">
        <v>3</v>
      </c>
      <c r="H276" s="4">
        <v>49.46</v>
      </c>
      <c r="I276" s="4">
        <v>0</v>
      </c>
      <c r="J276" s="4">
        <v>148.38</v>
      </c>
      <c r="K276" s="4">
        <v>63.5</v>
      </c>
      <c r="L276" s="4" t="s">
        <v>40</v>
      </c>
      <c r="M276" s="4">
        <v>6</v>
      </c>
      <c r="N276" s="4">
        <v>2</v>
      </c>
      <c r="O276" s="4" t="s">
        <v>21</v>
      </c>
    </row>
    <row r="277" spans="1:15">
      <c r="A277" s="6" t="s">
        <v>257</v>
      </c>
      <c r="B277" s="3">
        <v>45834</v>
      </c>
      <c r="C277" s="4" t="s">
        <v>16</v>
      </c>
      <c r="D277" s="4" t="s">
        <v>17</v>
      </c>
      <c r="E277" s="4" t="s">
        <v>46</v>
      </c>
      <c r="F277" s="4" t="s">
        <v>47</v>
      </c>
      <c r="G277" s="4">
        <v>2</v>
      </c>
      <c r="H277" s="4">
        <v>195.99</v>
      </c>
      <c r="I277" s="4">
        <v>0.05</v>
      </c>
      <c r="J277" s="4">
        <v>372.38</v>
      </c>
      <c r="K277" s="4">
        <v>190.16</v>
      </c>
      <c r="L277" s="4" t="s">
        <v>40</v>
      </c>
      <c r="M277" s="4">
        <v>2</v>
      </c>
      <c r="N277" s="4">
        <v>2</v>
      </c>
      <c r="O277" s="4" t="s">
        <v>21</v>
      </c>
    </row>
    <row r="278" spans="1:15">
      <c r="A278" s="6" t="s">
        <v>249</v>
      </c>
      <c r="B278" s="3">
        <v>45828</v>
      </c>
      <c r="C278" s="4" t="s">
        <v>23</v>
      </c>
      <c r="D278" s="4" t="s">
        <v>17</v>
      </c>
      <c r="E278" s="4" t="s">
        <v>31</v>
      </c>
      <c r="F278" s="4" t="s">
        <v>59</v>
      </c>
      <c r="G278" s="4">
        <v>2</v>
      </c>
      <c r="H278" s="4">
        <v>50.91</v>
      </c>
      <c r="I278" s="4">
        <v>0.1</v>
      </c>
      <c r="J278" s="4">
        <v>91.64</v>
      </c>
      <c r="K278" s="4">
        <v>50.64</v>
      </c>
      <c r="L278" s="4" t="s">
        <v>14</v>
      </c>
      <c r="M278" s="4">
        <v>5</v>
      </c>
      <c r="N278" s="4">
        <v>1</v>
      </c>
      <c r="O278" s="4" t="s">
        <v>27</v>
      </c>
    </row>
    <row r="279" spans="1:15">
      <c r="A279" s="6" t="s">
        <v>384</v>
      </c>
      <c r="B279" s="3">
        <v>45943</v>
      </c>
      <c r="C279" s="4" t="s">
        <v>71</v>
      </c>
      <c r="D279" s="4" t="s">
        <v>24</v>
      </c>
      <c r="E279" s="4" t="s">
        <v>31</v>
      </c>
      <c r="F279" s="4" t="s">
        <v>91</v>
      </c>
      <c r="G279" s="4">
        <v>5</v>
      </c>
      <c r="H279" s="4">
        <v>65.680000000000007</v>
      </c>
      <c r="I279" s="4">
        <v>0.05</v>
      </c>
      <c r="J279" s="4">
        <v>311.98</v>
      </c>
      <c r="K279" s="4">
        <v>162.16</v>
      </c>
      <c r="L279" s="4" t="s">
        <v>14</v>
      </c>
      <c r="M279" s="4">
        <v>2</v>
      </c>
      <c r="N279" s="4">
        <v>1</v>
      </c>
      <c r="O279" s="4" t="s">
        <v>27</v>
      </c>
    </row>
    <row r="280" spans="1:15">
      <c r="A280" s="6" t="s">
        <v>62</v>
      </c>
      <c r="B280" s="3">
        <v>45681</v>
      </c>
      <c r="C280" s="4" t="s">
        <v>23</v>
      </c>
      <c r="D280" s="4" t="s">
        <v>24</v>
      </c>
      <c r="E280" s="4" t="s">
        <v>25</v>
      </c>
      <c r="F280" s="4" t="s">
        <v>63</v>
      </c>
      <c r="G280" s="4">
        <v>5</v>
      </c>
      <c r="H280" s="4">
        <v>47.77</v>
      </c>
      <c r="I280" s="4">
        <v>0.15</v>
      </c>
      <c r="J280" s="4">
        <v>203.02</v>
      </c>
      <c r="K280" s="4">
        <v>92.85</v>
      </c>
      <c r="L280" s="4" t="s">
        <v>33</v>
      </c>
      <c r="M280" s="4"/>
      <c r="N280" s="4"/>
      <c r="O280" s="4" t="s">
        <v>21</v>
      </c>
    </row>
    <row r="281" spans="1:15">
      <c r="A281" s="6" t="s">
        <v>73</v>
      </c>
      <c r="B281" s="3">
        <v>45688</v>
      </c>
      <c r="C281" s="4" t="s">
        <v>16</v>
      </c>
      <c r="D281" s="4" t="s">
        <v>30</v>
      </c>
      <c r="E281" s="4" t="s">
        <v>25</v>
      </c>
      <c r="F281" s="4" t="s">
        <v>63</v>
      </c>
      <c r="G281" s="4">
        <v>5</v>
      </c>
      <c r="H281" s="4">
        <v>46.19</v>
      </c>
      <c r="I281" s="4">
        <v>0.05</v>
      </c>
      <c r="J281" s="4">
        <v>219.4</v>
      </c>
      <c r="K281" s="4">
        <v>93.55</v>
      </c>
      <c r="L281" s="4" t="s">
        <v>40</v>
      </c>
      <c r="M281" s="4">
        <v>3</v>
      </c>
      <c r="N281" s="4">
        <v>1</v>
      </c>
      <c r="O281" s="4" t="s">
        <v>21</v>
      </c>
    </row>
    <row r="282" spans="1:15">
      <c r="A282" s="6" t="s">
        <v>160</v>
      </c>
      <c r="B282" s="3">
        <v>45758</v>
      </c>
      <c r="C282" s="4" t="s">
        <v>38</v>
      </c>
      <c r="D282" s="4" t="s">
        <v>30</v>
      </c>
      <c r="E282" s="4" t="s">
        <v>35</v>
      </c>
      <c r="F282" s="4" t="s">
        <v>36</v>
      </c>
      <c r="G282" s="4">
        <v>3</v>
      </c>
      <c r="H282" s="4">
        <v>37.31</v>
      </c>
      <c r="I282" s="4">
        <v>0</v>
      </c>
      <c r="J282" s="4">
        <v>111.93</v>
      </c>
      <c r="K282" s="4">
        <v>42.43</v>
      </c>
      <c r="L282" s="4" t="s">
        <v>20</v>
      </c>
      <c r="M282" s="4"/>
      <c r="N282" s="4"/>
      <c r="O282" s="4" t="s">
        <v>21</v>
      </c>
    </row>
    <row r="283" spans="1:15">
      <c r="A283" s="6" t="s">
        <v>258</v>
      </c>
      <c r="B283" s="3">
        <v>45835</v>
      </c>
      <c r="C283" s="4" t="s">
        <v>38</v>
      </c>
      <c r="D283" s="4" t="s">
        <v>24</v>
      </c>
      <c r="E283" s="4" t="s">
        <v>46</v>
      </c>
      <c r="F283" s="4" t="s">
        <v>49</v>
      </c>
      <c r="G283" s="4">
        <v>5</v>
      </c>
      <c r="H283" s="4">
        <v>341.06</v>
      </c>
      <c r="I283" s="4">
        <v>0.15</v>
      </c>
      <c r="J283" s="4">
        <v>1449.5</v>
      </c>
      <c r="K283" s="4">
        <v>969.96</v>
      </c>
      <c r="L283" s="4" t="s">
        <v>14</v>
      </c>
      <c r="M283" s="4">
        <v>5</v>
      </c>
      <c r="N283" s="4">
        <v>4</v>
      </c>
      <c r="O283" s="4" t="s">
        <v>27</v>
      </c>
    </row>
    <row r="284" spans="1:15">
      <c r="A284" s="6" t="s">
        <v>331</v>
      </c>
      <c r="B284" s="3">
        <v>45902</v>
      </c>
      <c r="C284" s="4" t="s">
        <v>29</v>
      </c>
      <c r="D284" s="4" t="s">
        <v>24</v>
      </c>
      <c r="E284" s="4" t="s">
        <v>46</v>
      </c>
      <c r="F284" s="4" t="s">
        <v>47</v>
      </c>
      <c r="G284" s="4">
        <v>5</v>
      </c>
      <c r="H284" s="4">
        <v>190.13</v>
      </c>
      <c r="I284" s="4">
        <v>0.1</v>
      </c>
      <c r="J284" s="4">
        <v>855.59</v>
      </c>
      <c r="K284" s="4">
        <v>465.67</v>
      </c>
      <c r="L284" s="4" t="s">
        <v>40</v>
      </c>
      <c r="M284" s="4">
        <v>1</v>
      </c>
      <c r="N284" s="4">
        <v>1</v>
      </c>
      <c r="O284" s="4" t="s">
        <v>21</v>
      </c>
    </row>
    <row r="285" spans="1:15">
      <c r="A285" s="6" t="s">
        <v>260</v>
      </c>
      <c r="B285" s="3">
        <v>45837</v>
      </c>
      <c r="C285" s="4" t="s">
        <v>16</v>
      </c>
      <c r="D285" s="4" t="s">
        <v>17</v>
      </c>
      <c r="E285" s="4" t="s">
        <v>35</v>
      </c>
      <c r="F285" s="4" t="s">
        <v>55</v>
      </c>
      <c r="G285" s="4">
        <v>5</v>
      </c>
      <c r="H285" s="4">
        <v>53.63</v>
      </c>
      <c r="I285" s="4">
        <v>0.05</v>
      </c>
      <c r="J285" s="4">
        <v>254.74</v>
      </c>
      <c r="K285" s="4">
        <v>118.27</v>
      </c>
      <c r="L285" s="4" t="s">
        <v>40</v>
      </c>
      <c r="M285" s="4">
        <v>8</v>
      </c>
      <c r="N285" s="4">
        <v>2</v>
      </c>
      <c r="O285" s="4" t="s">
        <v>21</v>
      </c>
    </row>
    <row r="286" spans="1:15">
      <c r="A286" s="6" t="s">
        <v>233</v>
      </c>
      <c r="B286" s="3">
        <v>45819</v>
      </c>
      <c r="C286" s="4" t="s">
        <v>16</v>
      </c>
      <c r="D286" s="4" t="s">
        <v>17</v>
      </c>
      <c r="E286" s="4" t="s">
        <v>18</v>
      </c>
      <c r="F286" s="4" t="s">
        <v>80</v>
      </c>
      <c r="G286" s="4">
        <v>3</v>
      </c>
      <c r="H286" s="4">
        <v>130.80000000000001</v>
      </c>
      <c r="I286" s="4">
        <v>0.1</v>
      </c>
      <c r="J286" s="4">
        <v>353.16</v>
      </c>
      <c r="K286" s="4">
        <v>159.33000000000001</v>
      </c>
      <c r="L286" s="4" t="s">
        <v>40</v>
      </c>
      <c r="M286" s="4">
        <v>6</v>
      </c>
      <c r="N286" s="4">
        <v>2</v>
      </c>
      <c r="O286" s="4" t="s">
        <v>21</v>
      </c>
    </row>
    <row r="287" spans="1:15">
      <c r="A287" s="6" t="s">
        <v>442</v>
      </c>
      <c r="B287" s="3">
        <v>46000</v>
      </c>
      <c r="C287" s="4" t="s">
        <v>29</v>
      </c>
      <c r="D287" s="4" t="s">
        <v>17</v>
      </c>
      <c r="E287" s="4" t="s">
        <v>46</v>
      </c>
      <c r="F287" s="4" t="s">
        <v>49</v>
      </c>
      <c r="G287" s="4">
        <v>5</v>
      </c>
      <c r="H287" s="4">
        <v>335.79</v>
      </c>
      <c r="I287" s="4">
        <v>0.1</v>
      </c>
      <c r="J287" s="4">
        <v>1511.06</v>
      </c>
      <c r="K287" s="4">
        <v>952.52</v>
      </c>
      <c r="L287" s="4" t="s">
        <v>33</v>
      </c>
      <c r="M287" s="4"/>
      <c r="N287" s="4"/>
      <c r="O287" s="4" t="s">
        <v>21</v>
      </c>
    </row>
    <row r="288" spans="1:15">
      <c r="A288" s="6" t="s">
        <v>118</v>
      </c>
      <c r="B288" s="3">
        <v>45716</v>
      </c>
      <c r="C288" s="4" t="s">
        <v>38</v>
      </c>
      <c r="D288" s="4" t="s">
        <v>30</v>
      </c>
      <c r="E288" s="4" t="s">
        <v>46</v>
      </c>
      <c r="F288" s="4" t="s">
        <v>68</v>
      </c>
      <c r="G288" s="4">
        <v>1</v>
      </c>
      <c r="H288" s="4">
        <v>104.42</v>
      </c>
      <c r="I288" s="4">
        <v>0.1</v>
      </c>
      <c r="J288" s="4">
        <v>93.98</v>
      </c>
      <c r="K288" s="4">
        <v>44.28</v>
      </c>
      <c r="L288" s="4" t="s">
        <v>33</v>
      </c>
      <c r="M288" s="4"/>
      <c r="N288" s="4"/>
      <c r="O288" s="4" t="s">
        <v>21</v>
      </c>
    </row>
    <row r="289" spans="1:15">
      <c r="A289" s="6" t="s">
        <v>297</v>
      </c>
      <c r="B289" s="3">
        <v>45866</v>
      </c>
      <c r="C289" s="4" t="s">
        <v>23</v>
      </c>
      <c r="D289" s="4" t="s">
        <v>17</v>
      </c>
      <c r="E289" s="4" t="s">
        <v>18</v>
      </c>
      <c r="F289" s="4" t="s">
        <v>19</v>
      </c>
      <c r="G289" s="4">
        <v>1</v>
      </c>
      <c r="H289" s="4">
        <v>160.77000000000001</v>
      </c>
      <c r="I289" s="4">
        <v>0.1</v>
      </c>
      <c r="J289" s="4">
        <v>144.69</v>
      </c>
      <c r="K289" s="4">
        <v>73.290000000000006</v>
      </c>
      <c r="L289" s="4" t="s">
        <v>33</v>
      </c>
      <c r="M289" s="4"/>
      <c r="N289" s="4"/>
      <c r="O289" s="4" t="s">
        <v>21</v>
      </c>
    </row>
    <row r="290" spans="1:15">
      <c r="A290" s="6" t="s">
        <v>279</v>
      </c>
      <c r="B290" s="3">
        <v>45855</v>
      </c>
      <c r="C290" s="4" t="s">
        <v>16</v>
      </c>
      <c r="D290" s="4" t="s">
        <v>17</v>
      </c>
      <c r="E290" s="4" t="s">
        <v>31</v>
      </c>
      <c r="F290" s="4" t="s">
        <v>32</v>
      </c>
      <c r="G290" s="4">
        <v>1</v>
      </c>
      <c r="H290" s="4">
        <v>31.53</v>
      </c>
      <c r="I290" s="4">
        <v>0</v>
      </c>
      <c r="J290" s="4">
        <v>31.53</v>
      </c>
      <c r="K290" s="4">
        <v>16.850000000000001</v>
      </c>
      <c r="L290" s="4" t="s">
        <v>14</v>
      </c>
      <c r="M290" s="4">
        <v>3</v>
      </c>
      <c r="N290" s="4">
        <v>1</v>
      </c>
      <c r="O290" s="4" t="s">
        <v>27</v>
      </c>
    </row>
    <row r="291" spans="1:15">
      <c r="A291" s="6" t="s">
        <v>254</v>
      </c>
      <c r="B291" s="3">
        <v>45830</v>
      </c>
      <c r="C291" s="4" t="s">
        <v>23</v>
      </c>
      <c r="D291" s="4" t="s">
        <v>17</v>
      </c>
      <c r="E291" s="4" t="s">
        <v>25</v>
      </c>
      <c r="F291" s="4" t="s">
        <v>89</v>
      </c>
      <c r="G291" s="4">
        <v>4</v>
      </c>
      <c r="H291" s="4">
        <v>101.74</v>
      </c>
      <c r="I291" s="4">
        <v>0.1</v>
      </c>
      <c r="J291" s="4">
        <v>366.26</v>
      </c>
      <c r="K291" s="4">
        <v>201.19</v>
      </c>
      <c r="L291" s="4" t="s">
        <v>14</v>
      </c>
      <c r="M291" s="4">
        <v>3</v>
      </c>
      <c r="N291" s="4">
        <v>3</v>
      </c>
      <c r="O291" s="4" t="s">
        <v>27</v>
      </c>
    </row>
    <row r="292" spans="1:15">
      <c r="A292" s="6" t="s">
        <v>396</v>
      </c>
      <c r="B292" s="3">
        <v>45952</v>
      </c>
      <c r="C292" s="4" t="s">
        <v>16</v>
      </c>
      <c r="D292" s="4" t="s">
        <v>17</v>
      </c>
      <c r="E292" s="4" t="s">
        <v>31</v>
      </c>
      <c r="F292" s="4" t="s">
        <v>32</v>
      </c>
      <c r="G292" s="4">
        <v>5</v>
      </c>
      <c r="H292" s="4">
        <v>36.17</v>
      </c>
      <c r="I292" s="4">
        <v>0.05</v>
      </c>
      <c r="J292" s="4">
        <v>171.81</v>
      </c>
      <c r="K292" s="4">
        <v>84.41</v>
      </c>
      <c r="L292" s="4" t="s">
        <v>33</v>
      </c>
      <c r="M292" s="4"/>
      <c r="N292" s="4"/>
      <c r="O292" s="4" t="s">
        <v>21</v>
      </c>
    </row>
    <row r="293" spans="1:15">
      <c r="A293" s="6" t="s">
        <v>157</v>
      </c>
      <c r="B293" s="3">
        <v>45755</v>
      </c>
      <c r="C293" s="4" t="s">
        <v>71</v>
      </c>
      <c r="D293" s="4" t="s">
        <v>24</v>
      </c>
      <c r="E293" s="4" t="s">
        <v>25</v>
      </c>
      <c r="F293" s="4" t="s">
        <v>63</v>
      </c>
      <c r="G293" s="4">
        <v>5</v>
      </c>
      <c r="H293" s="4">
        <v>48.51</v>
      </c>
      <c r="I293" s="4">
        <v>0.1</v>
      </c>
      <c r="J293" s="4">
        <v>218.29</v>
      </c>
      <c r="K293" s="4">
        <v>106.19</v>
      </c>
      <c r="L293" s="4" t="s">
        <v>40</v>
      </c>
      <c r="M293" s="4">
        <v>3</v>
      </c>
      <c r="N293" s="4">
        <v>4</v>
      </c>
      <c r="O293" s="4" t="s">
        <v>21</v>
      </c>
    </row>
    <row r="294" spans="1:15">
      <c r="A294" s="6" t="s">
        <v>448</v>
      </c>
      <c r="B294" s="3">
        <v>46006</v>
      </c>
      <c r="C294" s="4" t="s">
        <v>23</v>
      </c>
      <c r="D294" s="4" t="s">
        <v>30</v>
      </c>
      <c r="E294" s="4" t="s">
        <v>35</v>
      </c>
      <c r="F294" s="4" t="s">
        <v>39</v>
      </c>
      <c r="G294" s="4">
        <v>3</v>
      </c>
      <c r="H294" s="4">
        <v>80.41</v>
      </c>
      <c r="I294" s="4">
        <v>0</v>
      </c>
      <c r="J294" s="4">
        <v>241.23</v>
      </c>
      <c r="K294" s="4">
        <v>100.96</v>
      </c>
      <c r="L294" s="4" t="s">
        <v>14</v>
      </c>
      <c r="M294" s="4">
        <v>8</v>
      </c>
      <c r="N294" s="4">
        <v>2</v>
      </c>
      <c r="O294" s="4" t="s">
        <v>27</v>
      </c>
    </row>
    <row r="295" spans="1:15">
      <c r="A295" s="6" t="s">
        <v>192</v>
      </c>
      <c r="B295" s="3">
        <v>45779</v>
      </c>
      <c r="C295" s="4" t="s">
        <v>29</v>
      </c>
      <c r="D295" s="4" t="s">
        <v>17</v>
      </c>
      <c r="E295" s="4" t="s">
        <v>31</v>
      </c>
      <c r="F295" s="4" t="s">
        <v>91</v>
      </c>
      <c r="G295" s="4">
        <v>5</v>
      </c>
      <c r="H295" s="4">
        <v>65.78</v>
      </c>
      <c r="I295" s="4">
        <v>0.05</v>
      </c>
      <c r="J295" s="4">
        <v>312.45</v>
      </c>
      <c r="K295" s="4">
        <v>165.72</v>
      </c>
      <c r="L295" s="4" t="s">
        <v>40</v>
      </c>
      <c r="M295" s="4">
        <v>8</v>
      </c>
      <c r="N295" s="4">
        <v>1</v>
      </c>
      <c r="O295" s="4" t="s">
        <v>21</v>
      </c>
    </row>
    <row r="296" spans="1:15">
      <c r="A296" s="6" t="s">
        <v>280</v>
      </c>
      <c r="B296" s="3">
        <v>45856</v>
      </c>
      <c r="C296" s="4" t="s">
        <v>16</v>
      </c>
      <c r="D296" s="4" t="s">
        <v>30</v>
      </c>
      <c r="E296" s="4" t="s">
        <v>18</v>
      </c>
      <c r="F296" s="4" t="s">
        <v>57</v>
      </c>
      <c r="G296" s="4">
        <v>5</v>
      </c>
      <c r="H296" s="4">
        <v>45.19</v>
      </c>
      <c r="I296" s="4">
        <v>0.1</v>
      </c>
      <c r="J296" s="4">
        <v>203.35</v>
      </c>
      <c r="K296" s="4">
        <v>88.97</v>
      </c>
      <c r="L296" s="4" t="s">
        <v>40</v>
      </c>
      <c r="M296" s="4">
        <v>4</v>
      </c>
      <c r="N296" s="4">
        <v>2</v>
      </c>
      <c r="O296" s="4" t="s">
        <v>21</v>
      </c>
    </row>
    <row r="297" spans="1:15">
      <c r="A297" s="6" t="s">
        <v>276</v>
      </c>
      <c r="B297" s="3">
        <v>45848</v>
      </c>
      <c r="C297" s="4" t="s">
        <v>23</v>
      </c>
      <c r="D297" s="4" t="s">
        <v>24</v>
      </c>
      <c r="E297" s="4" t="s">
        <v>25</v>
      </c>
      <c r="F297" s="4" t="s">
        <v>26</v>
      </c>
      <c r="G297" s="4">
        <v>5</v>
      </c>
      <c r="H297" s="4">
        <v>257.42</v>
      </c>
      <c r="I297" s="4">
        <v>0.1</v>
      </c>
      <c r="J297" s="4">
        <v>1158.3900000000001</v>
      </c>
      <c r="K297" s="4">
        <v>628.27</v>
      </c>
      <c r="L297" s="4" t="s">
        <v>20</v>
      </c>
      <c r="M297" s="4"/>
      <c r="N297" s="4"/>
      <c r="O297" s="4" t="s">
        <v>21</v>
      </c>
    </row>
    <row r="298" spans="1:15">
      <c r="A298" s="6" t="s">
        <v>412</v>
      </c>
      <c r="B298" s="3">
        <v>45968</v>
      </c>
      <c r="C298" s="4" t="s">
        <v>38</v>
      </c>
      <c r="D298" s="4" t="s">
        <v>17</v>
      </c>
      <c r="E298" s="4" t="s">
        <v>25</v>
      </c>
      <c r="F298" s="4" t="s">
        <v>26</v>
      </c>
      <c r="G298" s="4">
        <v>4</v>
      </c>
      <c r="H298" s="4">
        <v>263.67</v>
      </c>
      <c r="I298" s="4">
        <v>0.15</v>
      </c>
      <c r="J298" s="4">
        <v>896.48</v>
      </c>
      <c r="K298" s="4">
        <v>513.36</v>
      </c>
      <c r="L298" s="4" t="s">
        <v>40</v>
      </c>
      <c r="M298" s="4">
        <v>7</v>
      </c>
      <c r="N298" s="4">
        <v>5</v>
      </c>
      <c r="O298" s="4" t="s">
        <v>21</v>
      </c>
    </row>
    <row r="299" spans="1:15">
      <c r="A299" s="6" t="s">
        <v>232</v>
      </c>
      <c r="B299" s="3">
        <v>45818</v>
      </c>
      <c r="C299" s="4" t="s">
        <v>29</v>
      </c>
      <c r="D299" s="4" t="s">
        <v>17</v>
      </c>
      <c r="E299" s="4" t="s">
        <v>35</v>
      </c>
      <c r="F299" s="4" t="s">
        <v>36</v>
      </c>
      <c r="G299" s="4">
        <v>3</v>
      </c>
      <c r="H299" s="4">
        <v>37.81</v>
      </c>
      <c r="I299" s="4">
        <v>0</v>
      </c>
      <c r="J299" s="4">
        <v>113.43</v>
      </c>
      <c r="K299" s="4">
        <v>44.29</v>
      </c>
      <c r="L299" s="4" t="s">
        <v>40</v>
      </c>
      <c r="M299" s="4">
        <v>5</v>
      </c>
      <c r="N299" s="4">
        <v>2</v>
      </c>
      <c r="O299" s="4" t="s">
        <v>21</v>
      </c>
    </row>
    <row r="300" spans="1:15">
      <c r="A300" s="6" t="s">
        <v>167</v>
      </c>
      <c r="B300" s="3">
        <v>45761</v>
      </c>
      <c r="C300" s="4" t="s">
        <v>29</v>
      </c>
      <c r="D300" s="4" t="s">
        <v>17</v>
      </c>
      <c r="E300" s="4" t="s">
        <v>18</v>
      </c>
      <c r="F300" s="4" t="s">
        <v>19</v>
      </c>
      <c r="G300" s="4">
        <v>5</v>
      </c>
      <c r="H300" s="4">
        <v>137.1</v>
      </c>
      <c r="I300" s="4">
        <v>0.15</v>
      </c>
      <c r="J300" s="4">
        <v>582.66999999999996</v>
      </c>
      <c r="K300" s="4">
        <v>394.67</v>
      </c>
      <c r="L300" s="4" t="s">
        <v>40</v>
      </c>
      <c r="M300" s="4">
        <v>4</v>
      </c>
      <c r="N300" s="4">
        <v>2</v>
      </c>
      <c r="O300" s="4" t="s">
        <v>21</v>
      </c>
    </row>
    <row r="301" spans="1:15">
      <c r="A301" s="6" t="s">
        <v>42</v>
      </c>
      <c r="B301" s="3">
        <v>45665</v>
      </c>
      <c r="C301" s="4" t="s">
        <v>38</v>
      </c>
      <c r="D301" s="4" t="s">
        <v>17</v>
      </c>
      <c r="E301" s="4" t="s">
        <v>18</v>
      </c>
      <c r="F301" s="4" t="s">
        <v>19</v>
      </c>
      <c r="G301" s="4">
        <v>2</v>
      </c>
      <c r="H301" s="4">
        <v>149.16</v>
      </c>
      <c r="I301" s="4">
        <v>0.05</v>
      </c>
      <c r="J301" s="4">
        <v>283.39999999999998</v>
      </c>
      <c r="K301" s="4">
        <v>163.93</v>
      </c>
      <c r="L301" s="4" t="s">
        <v>33</v>
      </c>
      <c r="M301" s="4"/>
      <c r="N301" s="4"/>
      <c r="O301" s="4" t="s">
        <v>21</v>
      </c>
    </row>
    <row r="302" spans="1:15">
      <c r="A302" s="6" t="s">
        <v>201</v>
      </c>
      <c r="B302" s="3">
        <v>45790</v>
      </c>
      <c r="C302" s="4" t="s">
        <v>16</v>
      </c>
      <c r="D302" s="4" t="s">
        <v>24</v>
      </c>
      <c r="E302" s="4" t="s">
        <v>31</v>
      </c>
      <c r="F302" s="4" t="s">
        <v>32</v>
      </c>
      <c r="G302" s="4">
        <v>5</v>
      </c>
      <c r="H302" s="4">
        <v>35.58</v>
      </c>
      <c r="I302" s="4">
        <v>0</v>
      </c>
      <c r="J302" s="4">
        <v>177.9</v>
      </c>
      <c r="K302" s="4">
        <v>82.08</v>
      </c>
      <c r="L302" s="4" t="s">
        <v>20</v>
      </c>
      <c r="M302" s="4"/>
      <c r="N302" s="4"/>
      <c r="O302" s="4" t="s">
        <v>21</v>
      </c>
    </row>
    <row r="303" spans="1:15">
      <c r="A303" s="6" t="s">
        <v>402</v>
      </c>
      <c r="B303" s="3">
        <v>45959</v>
      </c>
      <c r="C303" s="4" t="s">
        <v>23</v>
      </c>
      <c r="D303" s="4" t="s">
        <v>30</v>
      </c>
      <c r="E303" s="4" t="s">
        <v>35</v>
      </c>
      <c r="F303" s="4" t="s">
        <v>36</v>
      </c>
      <c r="G303" s="4">
        <v>3</v>
      </c>
      <c r="H303" s="4">
        <v>39.049999999999997</v>
      </c>
      <c r="I303" s="4">
        <v>0.15</v>
      </c>
      <c r="J303" s="4">
        <v>99.58</v>
      </c>
      <c r="K303" s="4">
        <v>44.52</v>
      </c>
      <c r="L303" s="4" t="s">
        <v>40</v>
      </c>
      <c r="M303" s="4">
        <v>2</v>
      </c>
      <c r="N303" s="4">
        <v>1</v>
      </c>
      <c r="O303" s="4" t="s">
        <v>21</v>
      </c>
    </row>
    <row r="304" spans="1:15">
      <c r="A304" s="6" t="s">
        <v>28</v>
      </c>
      <c r="B304" s="3">
        <v>45661</v>
      </c>
      <c r="C304" s="4" t="s">
        <v>29</v>
      </c>
      <c r="D304" s="4" t="s">
        <v>30</v>
      </c>
      <c r="E304" s="4" t="s">
        <v>31</v>
      </c>
      <c r="F304" s="4" t="s">
        <v>32</v>
      </c>
      <c r="G304" s="4">
        <v>1</v>
      </c>
      <c r="H304" s="4">
        <v>37.6</v>
      </c>
      <c r="I304" s="4">
        <v>0.05</v>
      </c>
      <c r="J304" s="4">
        <v>35.72</v>
      </c>
      <c r="K304" s="4">
        <v>17.510000000000002</v>
      </c>
      <c r="L304" s="4" t="s">
        <v>33</v>
      </c>
      <c r="M304" s="4"/>
      <c r="N304" s="4"/>
      <c r="O304" s="4" t="s">
        <v>21</v>
      </c>
    </row>
    <row r="305" spans="1:15">
      <c r="A305" s="6" t="s">
        <v>428</v>
      </c>
      <c r="B305" s="3">
        <v>45985</v>
      </c>
      <c r="C305" s="4" t="s">
        <v>38</v>
      </c>
      <c r="D305" s="4" t="s">
        <v>30</v>
      </c>
      <c r="E305" s="4" t="s">
        <v>25</v>
      </c>
      <c r="F305" s="4" t="s">
        <v>89</v>
      </c>
      <c r="G305" s="4">
        <v>1</v>
      </c>
      <c r="H305" s="4">
        <v>104.06</v>
      </c>
      <c r="I305" s="4">
        <v>0.15</v>
      </c>
      <c r="J305" s="4">
        <v>88.45</v>
      </c>
      <c r="K305" s="4">
        <v>49.26</v>
      </c>
      <c r="L305" s="4" t="s">
        <v>40</v>
      </c>
      <c r="M305" s="4">
        <v>1</v>
      </c>
      <c r="N305" s="4">
        <v>2</v>
      </c>
      <c r="O305" s="4" t="s">
        <v>21</v>
      </c>
    </row>
    <row r="306" spans="1:15">
      <c r="A306" s="6" t="s">
        <v>281</v>
      </c>
      <c r="B306" s="3">
        <v>45856</v>
      </c>
      <c r="C306" s="4" t="s">
        <v>16</v>
      </c>
      <c r="D306" s="4" t="s">
        <v>24</v>
      </c>
      <c r="E306" s="4" t="s">
        <v>35</v>
      </c>
      <c r="F306" s="4" t="s">
        <v>36</v>
      </c>
      <c r="G306" s="4">
        <v>1</v>
      </c>
      <c r="H306" s="4">
        <v>37.81</v>
      </c>
      <c r="I306" s="4">
        <v>0.15</v>
      </c>
      <c r="J306" s="4">
        <v>32.14</v>
      </c>
      <c r="K306" s="4">
        <v>14.01</v>
      </c>
      <c r="L306" s="4" t="s">
        <v>40</v>
      </c>
      <c r="M306" s="4">
        <v>8</v>
      </c>
      <c r="N306" s="4">
        <v>3</v>
      </c>
      <c r="O306" s="4" t="s">
        <v>21</v>
      </c>
    </row>
    <row r="307" spans="1:15">
      <c r="A307" s="6" t="s">
        <v>107</v>
      </c>
      <c r="B307" s="3">
        <v>45709</v>
      </c>
      <c r="C307" s="4" t="s">
        <v>71</v>
      </c>
      <c r="D307" s="4" t="s">
        <v>17</v>
      </c>
      <c r="E307" s="4" t="s">
        <v>31</v>
      </c>
      <c r="F307" s="4" t="s">
        <v>32</v>
      </c>
      <c r="G307" s="4">
        <v>2</v>
      </c>
      <c r="H307" s="4">
        <v>32.68</v>
      </c>
      <c r="I307" s="4">
        <v>0.05</v>
      </c>
      <c r="J307" s="4">
        <v>62.09</v>
      </c>
      <c r="K307" s="4">
        <v>35.31</v>
      </c>
      <c r="L307" s="4" t="s">
        <v>40</v>
      </c>
      <c r="M307" s="4">
        <v>2</v>
      </c>
      <c r="N307" s="4">
        <v>2</v>
      </c>
      <c r="O307" s="4" t="s">
        <v>21</v>
      </c>
    </row>
    <row r="308" spans="1:15">
      <c r="A308" s="6" t="s">
        <v>177</v>
      </c>
      <c r="B308" s="3">
        <v>45768</v>
      </c>
      <c r="C308" s="4" t="s">
        <v>29</v>
      </c>
      <c r="D308" s="4" t="s">
        <v>17</v>
      </c>
      <c r="E308" s="4" t="s">
        <v>31</v>
      </c>
      <c r="F308" s="4" t="s">
        <v>59</v>
      </c>
      <c r="G308" s="4">
        <v>1</v>
      </c>
      <c r="H308" s="4">
        <v>48.53</v>
      </c>
      <c r="I308" s="4">
        <v>0</v>
      </c>
      <c r="J308" s="4">
        <v>48.53</v>
      </c>
      <c r="K308" s="4">
        <v>26.28</v>
      </c>
      <c r="L308" s="4" t="s">
        <v>40</v>
      </c>
      <c r="M308" s="4">
        <v>3</v>
      </c>
      <c r="N308" s="4">
        <v>1</v>
      </c>
      <c r="O308" s="4" t="s">
        <v>21</v>
      </c>
    </row>
    <row r="309" spans="1:15">
      <c r="A309" s="6" t="s">
        <v>289</v>
      </c>
      <c r="B309" s="3">
        <v>45860</v>
      </c>
      <c r="C309" s="4" t="s">
        <v>38</v>
      </c>
      <c r="D309" s="4" t="s">
        <v>17</v>
      </c>
      <c r="E309" s="4" t="s">
        <v>25</v>
      </c>
      <c r="F309" s="4" t="s">
        <v>89</v>
      </c>
      <c r="G309" s="4">
        <v>1</v>
      </c>
      <c r="H309" s="4">
        <v>117.58</v>
      </c>
      <c r="I309" s="4">
        <v>0</v>
      </c>
      <c r="J309" s="4">
        <v>117.58</v>
      </c>
      <c r="K309" s="4">
        <v>49.3</v>
      </c>
      <c r="L309" s="4" t="s">
        <v>33</v>
      </c>
      <c r="M309" s="4"/>
      <c r="N309" s="4"/>
      <c r="O309" s="4" t="s">
        <v>21</v>
      </c>
    </row>
    <row r="310" spans="1:15">
      <c r="A310" s="6" t="s">
        <v>183</v>
      </c>
      <c r="B310" s="3">
        <v>45773</v>
      </c>
      <c r="C310" s="4" t="s">
        <v>38</v>
      </c>
      <c r="D310" s="4" t="s">
        <v>30</v>
      </c>
      <c r="E310" s="4" t="s">
        <v>25</v>
      </c>
      <c r="F310" s="4" t="s">
        <v>26</v>
      </c>
      <c r="G310" s="4">
        <v>2</v>
      </c>
      <c r="H310" s="4">
        <v>239.86</v>
      </c>
      <c r="I310" s="4">
        <v>0</v>
      </c>
      <c r="J310" s="4">
        <v>479.72</v>
      </c>
      <c r="K310" s="4">
        <v>240.57</v>
      </c>
      <c r="L310" s="4" t="s">
        <v>14</v>
      </c>
      <c r="M310" s="4">
        <v>2</v>
      </c>
      <c r="N310" s="4">
        <v>1</v>
      </c>
      <c r="O310" s="4" t="s">
        <v>27</v>
      </c>
    </row>
    <row r="311" spans="1:15">
      <c r="A311" s="6" t="s">
        <v>90</v>
      </c>
      <c r="B311" s="3">
        <v>45697</v>
      </c>
      <c r="C311" s="4" t="s">
        <v>29</v>
      </c>
      <c r="D311" s="4" t="s">
        <v>24</v>
      </c>
      <c r="E311" s="4" t="s">
        <v>31</v>
      </c>
      <c r="F311" s="4" t="s">
        <v>91</v>
      </c>
      <c r="G311" s="4">
        <v>3</v>
      </c>
      <c r="H311" s="4">
        <v>67.58</v>
      </c>
      <c r="I311" s="4">
        <v>0.15</v>
      </c>
      <c r="J311" s="4">
        <v>172.33</v>
      </c>
      <c r="K311" s="4">
        <v>104.84</v>
      </c>
      <c r="L311" s="4" t="s">
        <v>20</v>
      </c>
      <c r="M311" s="4"/>
      <c r="N311" s="4"/>
      <c r="O311" s="4" t="s">
        <v>21</v>
      </c>
    </row>
    <row r="312" spans="1:15">
      <c r="A312" s="6" t="s">
        <v>329</v>
      </c>
      <c r="B312" s="3">
        <v>45901</v>
      </c>
      <c r="C312" s="4" t="s">
        <v>38</v>
      </c>
      <c r="D312" s="4" t="s">
        <v>30</v>
      </c>
      <c r="E312" s="4" t="s">
        <v>31</v>
      </c>
      <c r="F312" s="4" t="s">
        <v>32</v>
      </c>
      <c r="G312" s="4">
        <v>1</v>
      </c>
      <c r="H312" s="4">
        <v>32.01</v>
      </c>
      <c r="I312" s="4">
        <v>0</v>
      </c>
      <c r="J312" s="4">
        <v>32.01</v>
      </c>
      <c r="K312" s="4">
        <v>18.21</v>
      </c>
      <c r="L312" s="4" t="s">
        <v>40</v>
      </c>
      <c r="M312" s="4">
        <v>4</v>
      </c>
      <c r="N312" s="4">
        <v>5</v>
      </c>
      <c r="O312" s="4" t="s">
        <v>21</v>
      </c>
    </row>
    <row r="313" spans="1:15">
      <c r="A313" s="6" t="s">
        <v>333</v>
      </c>
      <c r="B313" s="3">
        <v>45903</v>
      </c>
      <c r="C313" s="4" t="s">
        <v>29</v>
      </c>
      <c r="D313" s="4" t="s">
        <v>24</v>
      </c>
      <c r="E313" s="4" t="s">
        <v>46</v>
      </c>
      <c r="F313" s="4" t="s">
        <v>68</v>
      </c>
      <c r="G313" s="4">
        <v>2</v>
      </c>
      <c r="H313" s="4">
        <v>86.43</v>
      </c>
      <c r="I313" s="4">
        <v>0.15</v>
      </c>
      <c r="J313" s="4">
        <v>146.93</v>
      </c>
      <c r="K313" s="4">
        <v>99.9</v>
      </c>
      <c r="L313" s="4" t="s">
        <v>20</v>
      </c>
      <c r="M313" s="4"/>
      <c r="N313" s="4"/>
      <c r="O313" s="4" t="s">
        <v>21</v>
      </c>
    </row>
    <row r="314" spans="1:15">
      <c r="A314" s="6" t="s">
        <v>95</v>
      </c>
      <c r="B314" s="3">
        <v>45701</v>
      </c>
      <c r="C314" s="4" t="s">
        <v>29</v>
      </c>
      <c r="D314" s="4" t="s">
        <v>17</v>
      </c>
      <c r="E314" s="4" t="s">
        <v>18</v>
      </c>
      <c r="F314" s="4" t="s">
        <v>80</v>
      </c>
      <c r="G314" s="4">
        <v>2</v>
      </c>
      <c r="H314" s="4">
        <v>110.81</v>
      </c>
      <c r="I314" s="4">
        <v>0</v>
      </c>
      <c r="J314" s="4">
        <v>221.62</v>
      </c>
      <c r="K314" s="4">
        <v>103.02</v>
      </c>
      <c r="L314" s="4" t="s">
        <v>40</v>
      </c>
      <c r="M314" s="4">
        <v>6</v>
      </c>
      <c r="N314" s="4">
        <v>4</v>
      </c>
      <c r="O314" s="4" t="s">
        <v>21</v>
      </c>
    </row>
    <row r="315" spans="1:15">
      <c r="A315" s="6" t="s">
        <v>165</v>
      </c>
      <c r="B315" s="3">
        <v>45760</v>
      </c>
      <c r="C315" s="4" t="s">
        <v>16</v>
      </c>
      <c r="D315" s="4" t="s">
        <v>24</v>
      </c>
      <c r="E315" s="4" t="s">
        <v>25</v>
      </c>
      <c r="F315" s="4" t="s">
        <v>63</v>
      </c>
      <c r="G315" s="4">
        <v>4</v>
      </c>
      <c r="H315" s="4">
        <v>48.85</v>
      </c>
      <c r="I315" s="4">
        <v>0.15</v>
      </c>
      <c r="J315" s="4">
        <v>166.09</v>
      </c>
      <c r="K315" s="4">
        <v>84.3</v>
      </c>
      <c r="L315" s="4" t="s">
        <v>40</v>
      </c>
      <c r="M315" s="4">
        <v>2</v>
      </c>
      <c r="N315" s="4">
        <v>5</v>
      </c>
      <c r="O315" s="4" t="s">
        <v>21</v>
      </c>
    </row>
    <row r="316" spans="1:15">
      <c r="A316" s="6" t="s">
        <v>151</v>
      </c>
      <c r="B316" s="3">
        <v>45747</v>
      </c>
      <c r="C316" s="4" t="s">
        <v>23</v>
      </c>
      <c r="D316" s="4" t="s">
        <v>24</v>
      </c>
      <c r="E316" s="4" t="s">
        <v>31</v>
      </c>
      <c r="F316" s="4" t="s">
        <v>91</v>
      </c>
      <c r="G316" s="4">
        <v>3</v>
      </c>
      <c r="H316" s="4">
        <v>63.09</v>
      </c>
      <c r="I316" s="4">
        <v>0.1</v>
      </c>
      <c r="J316" s="4">
        <v>170.34</v>
      </c>
      <c r="K316" s="4">
        <v>104.93</v>
      </c>
      <c r="L316" s="4" t="s">
        <v>20</v>
      </c>
      <c r="M316" s="4"/>
      <c r="N316" s="4"/>
      <c r="O316" s="4" t="s">
        <v>21</v>
      </c>
    </row>
    <row r="317" spans="1:15">
      <c r="A317" s="6" t="s">
        <v>322</v>
      </c>
      <c r="B317" s="3">
        <v>45898</v>
      </c>
      <c r="C317" s="4" t="s">
        <v>38</v>
      </c>
      <c r="D317" s="4" t="s">
        <v>17</v>
      </c>
      <c r="E317" s="4" t="s">
        <v>46</v>
      </c>
      <c r="F317" s="4" t="s">
        <v>68</v>
      </c>
      <c r="G317" s="4">
        <v>3</v>
      </c>
      <c r="H317" s="4">
        <v>90.15</v>
      </c>
      <c r="I317" s="4">
        <v>0</v>
      </c>
      <c r="J317" s="4">
        <v>270.45</v>
      </c>
      <c r="K317" s="4">
        <v>140.06</v>
      </c>
      <c r="L317" s="4" t="s">
        <v>33</v>
      </c>
      <c r="M317" s="4"/>
      <c r="N317" s="4"/>
      <c r="O317" s="4" t="s">
        <v>21</v>
      </c>
    </row>
    <row r="318" spans="1:15">
      <c r="A318" s="6" t="s">
        <v>357</v>
      </c>
      <c r="B318" s="3">
        <v>45924</v>
      </c>
      <c r="C318" s="4" t="s">
        <v>29</v>
      </c>
      <c r="D318" s="4" t="s">
        <v>17</v>
      </c>
      <c r="E318" s="4" t="s">
        <v>46</v>
      </c>
      <c r="F318" s="4" t="s">
        <v>47</v>
      </c>
      <c r="G318" s="4">
        <v>1</v>
      </c>
      <c r="H318" s="4">
        <v>186.97</v>
      </c>
      <c r="I318" s="4">
        <v>0.15</v>
      </c>
      <c r="J318" s="4">
        <v>158.91999999999999</v>
      </c>
      <c r="K318" s="4">
        <v>88.01</v>
      </c>
      <c r="L318" s="4" t="s">
        <v>40</v>
      </c>
      <c r="M318" s="4">
        <v>1</v>
      </c>
      <c r="N318" s="4">
        <v>4</v>
      </c>
      <c r="O318" s="4" t="s">
        <v>21</v>
      </c>
    </row>
    <row r="319" spans="1:15">
      <c r="A319" s="6" t="s">
        <v>356</v>
      </c>
      <c r="B319" s="3">
        <v>45923</v>
      </c>
      <c r="C319" s="4" t="s">
        <v>23</v>
      </c>
      <c r="D319" s="4" t="s">
        <v>30</v>
      </c>
      <c r="E319" s="4" t="s">
        <v>18</v>
      </c>
      <c r="F319" s="4" t="s">
        <v>19</v>
      </c>
      <c r="G319" s="4">
        <v>1</v>
      </c>
      <c r="H319" s="4">
        <v>155.37</v>
      </c>
      <c r="I319" s="4">
        <v>0</v>
      </c>
      <c r="J319" s="4">
        <v>155.37</v>
      </c>
      <c r="K319" s="4">
        <v>72.430000000000007</v>
      </c>
      <c r="L319" s="4" t="s">
        <v>14</v>
      </c>
      <c r="M319" s="4">
        <v>8</v>
      </c>
      <c r="N319" s="4">
        <v>4</v>
      </c>
      <c r="O319" s="4" t="s">
        <v>27</v>
      </c>
    </row>
    <row r="320" spans="1:15">
      <c r="A320" s="6" t="s">
        <v>443</v>
      </c>
      <c r="B320" s="3">
        <v>46000</v>
      </c>
      <c r="C320" s="4" t="s">
        <v>29</v>
      </c>
      <c r="D320" s="4" t="s">
        <v>30</v>
      </c>
      <c r="E320" s="4" t="s">
        <v>18</v>
      </c>
      <c r="F320" s="4" t="s">
        <v>80</v>
      </c>
      <c r="G320" s="4">
        <v>2</v>
      </c>
      <c r="H320" s="4">
        <v>125.67</v>
      </c>
      <c r="I320" s="4">
        <v>0.15</v>
      </c>
      <c r="J320" s="4">
        <v>213.64</v>
      </c>
      <c r="K320" s="4">
        <v>105.11</v>
      </c>
      <c r="L320" s="4" t="s">
        <v>14</v>
      </c>
      <c r="M320" s="4">
        <v>4</v>
      </c>
      <c r="N320" s="4">
        <v>4</v>
      </c>
      <c r="O320" s="4" t="s">
        <v>27</v>
      </c>
    </row>
    <row r="321" spans="1:15">
      <c r="A321" s="6" t="s">
        <v>373</v>
      </c>
      <c r="B321" s="3">
        <v>45938</v>
      </c>
      <c r="C321" s="4" t="s">
        <v>71</v>
      </c>
      <c r="D321" s="4" t="s">
        <v>17</v>
      </c>
      <c r="E321" s="4" t="s">
        <v>25</v>
      </c>
      <c r="F321" s="4" t="s">
        <v>63</v>
      </c>
      <c r="G321" s="4">
        <v>5</v>
      </c>
      <c r="H321" s="4">
        <v>48.72</v>
      </c>
      <c r="I321" s="4">
        <v>0</v>
      </c>
      <c r="J321" s="4">
        <v>243.6</v>
      </c>
      <c r="K321" s="4">
        <v>92.73</v>
      </c>
      <c r="L321" s="4" t="s">
        <v>33</v>
      </c>
      <c r="M321" s="4"/>
      <c r="N321" s="4"/>
      <c r="O321" s="4" t="s">
        <v>21</v>
      </c>
    </row>
    <row r="322" spans="1:15">
      <c r="A322" s="6" t="s">
        <v>187</v>
      </c>
      <c r="B322" s="3">
        <v>45775</v>
      </c>
      <c r="C322" s="4" t="s">
        <v>38</v>
      </c>
      <c r="D322" s="4" t="s">
        <v>17</v>
      </c>
      <c r="E322" s="4" t="s">
        <v>18</v>
      </c>
      <c r="F322" s="4" t="s">
        <v>57</v>
      </c>
      <c r="G322" s="4">
        <v>2</v>
      </c>
      <c r="H322" s="4">
        <v>45.79</v>
      </c>
      <c r="I322" s="4">
        <v>0</v>
      </c>
      <c r="J322" s="4">
        <v>91.58</v>
      </c>
      <c r="K322" s="4">
        <v>34.46</v>
      </c>
      <c r="L322" s="4" t="s">
        <v>33</v>
      </c>
      <c r="M322" s="4"/>
      <c r="N322" s="4"/>
      <c r="O322" s="4" t="s">
        <v>21</v>
      </c>
    </row>
    <row r="323" spans="1:15">
      <c r="A323" s="6" t="s">
        <v>92</v>
      </c>
      <c r="B323" s="3">
        <v>45697</v>
      </c>
      <c r="C323" s="4" t="s">
        <v>23</v>
      </c>
      <c r="D323" s="4" t="s">
        <v>24</v>
      </c>
      <c r="E323" s="4" t="s">
        <v>35</v>
      </c>
      <c r="F323" s="4" t="s">
        <v>39</v>
      </c>
      <c r="G323" s="4">
        <v>2</v>
      </c>
      <c r="H323" s="4">
        <v>72.31</v>
      </c>
      <c r="I323" s="4">
        <v>0.15</v>
      </c>
      <c r="J323" s="4">
        <v>122.93</v>
      </c>
      <c r="K323" s="4">
        <v>66.64</v>
      </c>
      <c r="L323" s="4" t="s">
        <v>40</v>
      </c>
      <c r="M323" s="4">
        <v>8</v>
      </c>
      <c r="N323" s="4">
        <v>3</v>
      </c>
      <c r="O323" s="4" t="s">
        <v>21</v>
      </c>
    </row>
    <row r="324" spans="1:15">
      <c r="A324" s="6" t="s">
        <v>308</v>
      </c>
      <c r="B324" s="3">
        <v>45882</v>
      </c>
      <c r="C324" s="4" t="s">
        <v>29</v>
      </c>
      <c r="D324" s="4" t="s">
        <v>17</v>
      </c>
      <c r="E324" s="4" t="s">
        <v>25</v>
      </c>
      <c r="F324" s="4" t="s">
        <v>26</v>
      </c>
      <c r="G324" s="4">
        <v>3</v>
      </c>
      <c r="H324" s="4">
        <v>241.21</v>
      </c>
      <c r="I324" s="4">
        <v>0.05</v>
      </c>
      <c r="J324" s="4">
        <v>687.45</v>
      </c>
      <c r="K324" s="4">
        <v>378.63</v>
      </c>
      <c r="L324" s="4" t="s">
        <v>40</v>
      </c>
      <c r="M324" s="4">
        <v>1</v>
      </c>
      <c r="N324" s="4">
        <v>5</v>
      </c>
      <c r="O324" s="4" t="s">
        <v>21</v>
      </c>
    </row>
    <row r="325" spans="1:15">
      <c r="A325" s="6" t="s">
        <v>434</v>
      </c>
      <c r="B325" s="3">
        <v>45992</v>
      </c>
      <c r="C325" s="4" t="s">
        <v>16</v>
      </c>
      <c r="D325" s="4" t="s">
        <v>17</v>
      </c>
      <c r="E325" s="4" t="s">
        <v>18</v>
      </c>
      <c r="F325" s="4" t="s">
        <v>19</v>
      </c>
      <c r="G325" s="4">
        <v>2</v>
      </c>
      <c r="H325" s="4">
        <v>153.63999999999999</v>
      </c>
      <c r="I325" s="4">
        <v>0</v>
      </c>
      <c r="J325" s="4">
        <v>307.27999999999997</v>
      </c>
      <c r="K325" s="4">
        <v>154.94999999999999</v>
      </c>
      <c r="L325" s="4" t="s">
        <v>14</v>
      </c>
      <c r="M325" s="4">
        <v>8</v>
      </c>
      <c r="N325" s="4">
        <v>1</v>
      </c>
      <c r="O325" s="4" t="s">
        <v>27</v>
      </c>
    </row>
    <row r="326" spans="1:15">
      <c r="A326" s="6" t="s">
        <v>459</v>
      </c>
      <c r="B326" s="3">
        <v>46013</v>
      </c>
      <c r="C326" s="4" t="s">
        <v>16</v>
      </c>
      <c r="D326" s="4" t="s">
        <v>24</v>
      </c>
      <c r="E326" s="4" t="s">
        <v>46</v>
      </c>
      <c r="F326" s="4" t="s">
        <v>47</v>
      </c>
      <c r="G326" s="4">
        <v>2</v>
      </c>
      <c r="H326" s="4">
        <v>181.05</v>
      </c>
      <c r="I326" s="4">
        <v>0.05</v>
      </c>
      <c r="J326" s="4">
        <v>344</v>
      </c>
      <c r="K326" s="4">
        <v>174.83</v>
      </c>
      <c r="L326" s="4" t="s">
        <v>40</v>
      </c>
      <c r="M326" s="4">
        <v>2</v>
      </c>
      <c r="N326" s="4">
        <v>2</v>
      </c>
      <c r="O326" s="4" t="s">
        <v>21</v>
      </c>
    </row>
    <row r="327" spans="1:15">
      <c r="A327" s="6" t="s">
        <v>144</v>
      </c>
      <c r="B327" s="3">
        <v>45742</v>
      </c>
      <c r="C327" s="4" t="s">
        <v>16</v>
      </c>
      <c r="D327" s="4" t="s">
        <v>17</v>
      </c>
      <c r="E327" s="4" t="s">
        <v>18</v>
      </c>
      <c r="F327" s="4" t="s">
        <v>80</v>
      </c>
      <c r="G327" s="4">
        <v>2</v>
      </c>
      <c r="H327" s="4">
        <v>130.59</v>
      </c>
      <c r="I327" s="4">
        <v>0</v>
      </c>
      <c r="J327" s="4">
        <v>261.18</v>
      </c>
      <c r="K327" s="4">
        <v>103.11</v>
      </c>
      <c r="L327" s="4" t="s">
        <v>40</v>
      </c>
      <c r="M327" s="4">
        <v>8</v>
      </c>
      <c r="N327" s="4">
        <v>5</v>
      </c>
      <c r="O327" s="4" t="s">
        <v>21</v>
      </c>
    </row>
    <row r="328" spans="1:15">
      <c r="A328" s="6" t="s">
        <v>146</v>
      </c>
      <c r="B328" s="3">
        <v>45744</v>
      </c>
      <c r="C328" s="4" t="s">
        <v>38</v>
      </c>
      <c r="D328" s="4" t="s">
        <v>17</v>
      </c>
      <c r="E328" s="4" t="s">
        <v>25</v>
      </c>
      <c r="F328" s="4" t="s">
        <v>89</v>
      </c>
      <c r="G328" s="4">
        <v>4</v>
      </c>
      <c r="H328" s="4">
        <v>100.95</v>
      </c>
      <c r="I328" s="4">
        <v>0.2</v>
      </c>
      <c r="J328" s="4">
        <v>323.04000000000002</v>
      </c>
      <c r="K328" s="4">
        <v>223.79</v>
      </c>
      <c r="L328" s="4" t="s">
        <v>40</v>
      </c>
      <c r="M328" s="4">
        <v>2</v>
      </c>
      <c r="N328" s="4">
        <v>1</v>
      </c>
      <c r="O328" s="4" t="s">
        <v>21</v>
      </c>
    </row>
    <row r="329" spans="1:15">
      <c r="A329" s="6" t="s">
        <v>53</v>
      </c>
      <c r="B329" s="3">
        <v>45671</v>
      </c>
      <c r="C329" s="4" t="s">
        <v>23</v>
      </c>
      <c r="D329" s="4" t="s">
        <v>17</v>
      </c>
      <c r="E329" s="4" t="s">
        <v>31</v>
      </c>
      <c r="F329" s="4" t="s">
        <v>32</v>
      </c>
      <c r="G329" s="4">
        <v>2</v>
      </c>
      <c r="H329" s="4">
        <v>34.15</v>
      </c>
      <c r="I329" s="4">
        <v>0.2</v>
      </c>
      <c r="J329" s="4">
        <v>54.64</v>
      </c>
      <c r="K329" s="4">
        <v>34.81</v>
      </c>
      <c r="L329" s="4" t="s">
        <v>40</v>
      </c>
      <c r="M329" s="4">
        <v>4</v>
      </c>
      <c r="N329" s="4">
        <v>5</v>
      </c>
      <c r="O329" s="4" t="s">
        <v>21</v>
      </c>
    </row>
    <row r="330" spans="1:15">
      <c r="A330" s="6" t="s">
        <v>105</v>
      </c>
      <c r="B330" s="3">
        <v>45709</v>
      </c>
      <c r="C330" s="4" t="s">
        <v>16</v>
      </c>
      <c r="D330" s="4" t="s">
        <v>17</v>
      </c>
      <c r="E330" s="4" t="s">
        <v>18</v>
      </c>
      <c r="F330" s="4" t="s">
        <v>19</v>
      </c>
      <c r="G330" s="4">
        <v>4</v>
      </c>
      <c r="H330" s="4">
        <v>151</v>
      </c>
      <c r="I330" s="4">
        <v>0</v>
      </c>
      <c r="J330" s="4">
        <v>604</v>
      </c>
      <c r="K330" s="4">
        <v>320.66000000000003</v>
      </c>
      <c r="L330" s="4" t="s">
        <v>40</v>
      </c>
      <c r="M330" s="4">
        <v>4</v>
      </c>
      <c r="N330" s="4">
        <v>2</v>
      </c>
      <c r="O330" s="4" t="s">
        <v>21</v>
      </c>
    </row>
    <row r="331" spans="1:15">
      <c r="A331" s="6" t="s">
        <v>287</v>
      </c>
      <c r="B331" s="3">
        <v>45860</v>
      </c>
      <c r="C331" s="4" t="s">
        <v>38</v>
      </c>
      <c r="D331" s="4" t="s">
        <v>17</v>
      </c>
      <c r="E331" s="4" t="s">
        <v>46</v>
      </c>
      <c r="F331" s="4" t="s">
        <v>68</v>
      </c>
      <c r="G331" s="4">
        <v>2</v>
      </c>
      <c r="H331" s="4">
        <v>85.64</v>
      </c>
      <c r="I331" s="4">
        <v>0.2</v>
      </c>
      <c r="J331" s="4">
        <v>137.02000000000001</v>
      </c>
      <c r="K331" s="4">
        <v>90.79</v>
      </c>
      <c r="L331" s="4" t="s">
        <v>33</v>
      </c>
      <c r="M331" s="4"/>
      <c r="N331" s="4"/>
      <c r="O331" s="4" t="s">
        <v>21</v>
      </c>
    </row>
    <row r="332" spans="1:15">
      <c r="A332" s="6" t="s">
        <v>285</v>
      </c>
      <c r="B332" s="3">
        <v>45857</v>
      </c>
      <c r="C332" s="4" t="s">
        <v>16</v>
      </c>
      <c r="D332" s="4" t="s">
        <v>24</v>
      </c>
      <c r="E332" s="4" t="s">
        <v>25</v>
      </c>
      <c r="F332" s="4" t="s">
        <v>26</v>
      </c>
      <c r="G332" s="4">
        <v>4</v>
      </c>
      <c r="H332" s="4">
        <v>233.53</v>
      </c>
      <c r="I332" s="4">
        <v>0.1</v>
      </c>
      <c r="J332" s="4">
        <v>840.71</v>
      </c>
      <c r="K332" s="4">
        <v>536.41</v>
      </c>
      <c r="L332" s="4" t="s">
        <v>40</v>
      </c>
      <c r="M332" s="4">
        <v>5</v>
      </c>
      <c r="N332" s="4">
        <v>4</v>
      </c>
      <c r="O332" s="4" t="s">
        <v>21</v>
      </c>
    </row>
    <row r="333" spans="1:15">
      <c r="A333" s="6" t="s">
        <v>207</v>
      </c>
      <c r="B333" s="3">
        <v>45793</v>
      </c>
      <c r="C333" s="4" t="s">
        <v>16</v>
      </c>
      <c r="D333" s="4" t="s">
        <v>30</v>
      </c>
      <c r="E333" s="4" t="s">
        <v>25</v>
      </c>
      <c r="F333" s="4" t="s">
        <v>63</v>
      </c>
      <c r="G333" s="4">
        <v>4</v>
      </c>
      <c r="H333" s="4">
        <v>45.86</v>
      </c>
      <c r="I333" s="4">
        <v>0</v>
      </c>
      <c r="J333" s="4">
        <v>183.44</v>
      </c>
      <c r="K333" s="4">
        <v>76.73</v>
      </c>
      <c r="L333" s="4" t="s">
        <v>40</v>
      </c>
      <c r="M333" s="4">
        <v>7</v>
      </c>
      <c r="N333" s="4">
        <v>2</v>
      </c>
      <c r="O333" s="4" t="s">
        <v>21</v>
      </c>
    </row>
    <row r="334" spans="1:15">
      <c r="A334" s="6" t="s">
        <v>180</v>
      </c>
      <c r="B334" s="3">
        <v>45771</v>
      </c>
      <c r="C334" s="4" t="s">
        <v>23</v>
      </c>
      <c r="D334" s="4" t="s">
        <v>30</v>
      </c>
      <c r="E334" s="4" t="s">
        <v>31</v>
      </c>
      <c r="F334" s="4" t="s">
        <v>59</v>
      </c>
      <c r="G334" s="4">
        <v>1</v>
      </c>
      <c r="H334" s="4">
        <v>47.22</v>
      </c>
      <c r="I334" s="4">
        <v>0</v>
      </c>
      <c r="J334" s="4">
        <v>47.22</v>
      </c>
      <c r="K334" s="4">
        <v>26.24</v>
      </c>
      <c r="L334" s="4" t="s">
        <v>40</v>
      </c>
      <c r="M334" s="4">
        <v>7</v>
      </c>
      <c r="N334" s="4">
        <v>5</v>
      </c>
      <c r="O334" s="4" t="s">
        <v>21</v>
      </c>
    </row>
    <row r="335" spans="1:15">
      <c r="A335" s="6" t="s">
        <v>403</v>
      </c>
      <c r="B335" s="3">
        <v>45960</v>
      </c>
      <c r="C335" s="4" t="s">
        <v>16</v>
      </c>
      <c r="D335" s="4" t="s">
        <v>17</v>
      </c>
      <c r="E335" s="4" t="s">
        <v>25</v>
      </c>
      <c r="F335" s="4" t="s">
        <v>26</v>
      </c>
      <c r="G335" s="4">
        <v>1</v>
      </c>
      <c r="H335" s="4">
        <v>240.86</v>
      </c>
      <c r="I335" s="4">
        <v>0.15</v>
      </c>
      <c r="J335" s="4">
        <v>204.73</v>
      </c>
      <c r="K335" s="4">
        <v>126.6</v>
      </c>
      <c r="L335" s="4" t="s">
        <v>40</v>
      </c>
      <c r="M335" s="4">
        <v>3</v>
      </c>
      <c r="N335" s="4">
        <v>2</v>
      </c>
      <c r="O335" s="4" t="s">
        <v>21</v>
      </c>
    </row>
    <row r="336" spans="1:15">
      <c r="A336" s="6" t="s">
        <v>244</v>
      </c>
      <c r="B336" s="3">
        <v>45825</v>
      </c>
      <c r="C336" s="4" t="s">
        <v>29</v>
      </c>
      <c r="D336" s="4" t="s">
        <v>17</v>
      </c>
      <c r="E336" s="4" t="s">
        <v>31</v>
      </c>
      <c r="F336" s="4" t="s">
        <v>91</v>
      </c>
      <c r="G336" s="4">
        <v>4</v>
      </c>
      <c r="H336" s="4">
        <v>59.81</v>
      </c>
      <c r="I336" s="4">
        <v>0.2</v>
      </c>
      <c r="J336" s="4">
        <v>191.39</v>
      </c>
      <c r="K336" s="4">
        <v>138.01</v>
      </c>
      <c r="L336" s="4" t="s">
        <v>40</v>
      </c>
      <c r="M336" s="4">
        <v>3</v>
      </c>
      <c r="N336" s="4">
        <v>5</v>
      </c>
      <c r="O336" s="4" t="s">
        <v>21</v>
      </c>
    </row>
    <row r="337" spans="1:15">
      <c r="A337" s="6" t="s">
        <v>398</v>
      </c>
      <c r="B337" s="3">
        <v>45953</v>
      </c>
      <c r="C337" s="4" t="s">
        <v>23</v>
      </c>
      <c r="D337" s="4" t="s">
        <v>24</v>
      </c>
      <c r="E337" s="4" t="s">
        <v>18</v>
      </c>
      <c r="F337" s="4" t="s">
        <v>80</v>
      </c>
      <c r="G337" s="4">
        <v>5</v>
      </c>
      <c r="H337" s="4">
        <v>123.62</v>
      </c>
      <c r="I337" s="4">
        <v>0.05</v>
      </c>
      <c r="J337" s="4">
        <v>587.20000000000005</v>
      </c>
      <c r="K337" s="4">
        <v>258.64</v>
      </c>
      <c r="L337" s="4" t="s">
        <v>40</v>
      </c>
      <c r="M337" s="4">
        <v>4</v>
      </c>
      <c r="N337" s="4">
        <v>5</v>
      </c>
      <c r="O337" s="4" t="s">
        <v>21</v>
      </c>
    </row>
    <row r="338" spans="1:15">
      <c r="A338" s="6" t="s">
        <v>451</v>
      </c>
      <c r="B338" s="3">
        <v>46009</v>
      </c>
      <c r="C338" s="4" t="s">
        <v>16</v>
      </c>
      <c r="D338" s="4" t="s">
        <v>24</v>
      </c>
      <c r="E338" s="4" t="s">
        <v>25</v>
      </c>
      <c r="F338" s="4" t="s">
        <v>63</v>
      </c>
      <c r="G338" s="4">
        <v>4</v>
      </c>
      <c r="H338" s="4">
        <v>53.75</v>
      </c>
      <c r="I338" s="4">
        <v>0.1</v>
      </c>
      <c r="J338" s="4">
        <v>193.5</v>
      </c>
      <c r="K338" s="4">
        <v>81.45</v>
      </c>
      <c r="L338" s="4" t="s">
        <v>20</v>
      </c>
      <c r="M338" s="4"/>
      <c r="N338" s="4"/>
      <c r="O338" s="4" t="s">
        <v>21</v>
      </c>
    </row>
    <row r="339" spans="1:15">
      <c r="A339" s="6" t="s">
        <v>185</v>
      </c>
      <c r="B339" s="3">
        <v>45773</v>
      </c>
      <c r="C339" s="4" t="s">
        <v>29</v>
      </c>
      <c r="D339" s="4" t="s">
        <v>30</v>
      </c>
      <c r="E339" s="4" t="s">
        <v>46</v>
      </c>
      <c r="F339" s="4" t="s">
        <v>47</v>
      </c>
      <c r="G339" s="4">
        <v>4</v>
      </c>
      <c r="H339" s="4">
        <v>181.76</v>
      </c>
      <c r="I339" s="4">
        <v>0</v>
      </c>
      <c r="J339" s="4">
        <v>727.04</v>
      </c>
      <c r="K339" s="4">
        <v>359.35</v>
      </c>
      <c r="L339" s="4" t="s">
        <v>40</v>
      </c>
      <c r="M339" s="4">
        <v>8</v>
      </c>
      <c r="N339" s="4">
        <v>5</v>
      </c>
      <c r="O339" s="4" t="s">
        <v>21</v>
      </c>
    </row>
    <row r="340" spans="1:15">
      <c r="A340" s="6" t="s">
        <v>137</v>
      </c>
      <c r="B340" s="3">
        <v>45731</v>
      </c>
      <c r="C340" s="4" t="s">
        <v>23</v>
      </c>
      <c r="D340" s="4" t="s">
        <v>17</v>
      </c>
      <c r="E340" s="4" t="s">
        <v>35</v>
      </c>
      <c r="F340" s="4" t="s">
        <v>36</v>
      </c>
      <c r="G340" s="4">
        <v>3</v>
      </c>
      <c r="H340" s="4">
        <v>39.78</v>
      </c>
      <c r="I340" s="4">
        <v>0.1</v>
      </c>
      <c r="J340" s="4">
        <v>107.41</v>
      </c>
      <c r="K340" s="4">
        <v>43.04</v>
      </c>
      <c r="L340" s="4" t="s">
        <v>40</v>
      </c>
      <c r="M340" s="4">
        <v>2</v>
      </c>
      <c r="N340" s="4">
        <v>4</v>
      </c>
      <c r="O340" s="4" t="s">
        <v>21</v>
      </c>
    </row>
    <row r="341" spans="1:15">
      <c r="A341" s="6" t="s">
        <v>447</v>
      </c>
      <c r="B341" s="3">
        <v>46005</v>
      </c>
      <c r="C341" s="4" t="s">
        <v>29</v>
      </c>
      <c r="D341" s="4" t="s">
        <v>17</v>
      </c>
      <c r="E341" s="4" t="s">
        <v>25</v>
      </c>
      <c r="F341" s="4" t="s">
        <v>63</v>
      </c>
      <c r="G341" s="4">
        <v>3</v>
      </c>
      <c r="H341" s="4">
        <v>45.84</v>
      </c>
      <c r="I341" s="4">
        <v>0.1</v>
      </c>
      <c r="J341" s="4">
        <v>123.77</v>
      </c>
      <c r="K341" s="4">
        <v>62.63</v>
      </c>
      <c r="L341" s="4" t="s">
        <v>40</v>
      </c>
      <c r="M341" s="4">
        <v>3</v>
      </c>
      <c r="N341" s="4">
        <v>1</v>
      </c>
      <c r="O341" s="4" t="s">
        <v>21</v>
      </c>
    </row>
    <row r="342" spans="1:15">
      <c r="A342" s="6" t="s">
        <v>316</v>
      </c>
      <c r="B342" s="3">
        <v>45889</v>
      </c>
      <c r="C342" s="4" t="s">
        <v>38</v>
      </c>
      <c r="D342" s="4" t="s">
        <v>30</v>
      </c>
      <c r="E342" s="4" t="s">
        <v>25</v>
      </c>
      <c r="F342" s="4" t="s">
        <v>26</v>
      </c>
      <c r="G342" s="4">
        <v>2</v>
      </c>
      <c r="H342" s="4">
        <v>252.58</v>
      </c>
      <c r="I342" s="4">
        <v>0.15</v>
      </c>
      <c r="J342" s="4">
        <v>429.39</v>
      </c>
      <c r="K342" s="4">
        <v>268.24</v>
      </c>
      <c r="L342" s="4" t="s">
        <v>40</v>
      </c>
      <c r="M342" s="4">
        <v>3</v>
      </c>
      <c r="N342" s="4">
        <v>2</v>
      </c>
      <c r="O342" s="4" t="s">
        <v>21</v>
      </c>
    </row>
    <row r="343" spans="1:15">
      <c r="A343" s="6" t="s">
        <v>169</v>
      </c>
      <c r="B343" s="3">
        <v>45764</v>
      </c>
      <c r="C343" s="4" t="s">
        <v>29</v>
      </c>
      <c r="D343" s="4" t="s">
        <v>17</v>
      </c>
      <c r="E343" s="4" t="s">
        <v>35</v>
      </c>
      <c r="F343" s="4" t="s">
        <v>39</v>
      </c>
      <c r="G343" s="4">
        <v>3</v>
      </c>
      <c r="H343" s="4">
        <v>78.63</v>
      </c>
      <c r="I343" s="4">
        <v>0.05</v>
      </c>
      <c r="J343" s="4">
        <v>224.1</v>
      </c>
      <c r="K343" s="4">
        <v>95.6</v>
      </c>
      <c r="L343" s="4" t="s">
        <v>40</v>
      </c>
      <c r="M343" s="4">
        <v>4</v>
      </c>
      <c r="N343" s="4">
        <v>1</v>
      </c>
      <c r="O343" s="4" t="s">
        <v>21</v>
      </c>
    </row>
    <row r="344" spans="1:15">
      <c r="A344" s="6" t="s">
        <v>309</v>
      </c>
      <c r="B344" s="3">
        <v>45884</v>
      </c>
      <c r="C344" s="4" t="s">
        <v>16</v>
      </c>
      <c r="D344" s="4" t="s">
        <v>17</v>
      </c>
      <c r="E344" s="4" t="s">
        <v>35</v>
      </c>
      <c r="F344" s="4" t="s">
        <v>36</v>
      </c>
      <c r="G344" s="4">
        <v>5</v>
      </c>
      <c r="H344" s="4">
        <v>39.020000000000003</v>
      </c>
      <c r="I344" s="4">
        <v>0.1</v>
      </c>
      <c r="J344" s="4">
        <v>175.59</v>
      </c>
      <c r="K344" s="4">
        <v>73.25</v>
      </c>
      <c r="L344" s="4" t="s">
        <v>40</v>
      </c>
      <c r="M344" s="4">
        <v>1</v>
      </c>
      <c r="N344" s="4">
        <v>1</v>
      </c>
      <c r="O344" s="4" t="s">
        <v>21</v>
      </c>
    </row>
    <row r="345" spans="1:15">
      <c r="A345" s="6" t="s">
        <v>274</v>
      </c>
      <c r="B345" s="3">
        <v>45845</v>
      </c>
      <c r="C345" s="4" t="s">
        <v>29</v>
      </c>
      <c r="D345" s="4" t="s">
        <v>30</v>
      </c>
      <c r="E345" s="4" t="s">
        <v>25</v>
      </c>
      <c r="F345" s="4" t="s">
        <v>63</v>
      </c>
      <c r="G345" s="4">
        <v>4</v>
      </c>
      <c r="H345" s="4">
        <v>46.84</v>
      </c>
      <c r="I345" s="4">
        <v>0</v>
      </c>
      <c r="J345" s="4">
        <v>187.36</v>
      </c>
      <c r="K345" s="4">
        <v>81.73</v>
      </c>
      <c r="L345" s="4" t="s">
        <v>33</v>
      </c>
      <c r="M345" s="4"/>
      <c r="N345" s="4"/>
      <c r="O345" s="4" t="s">
        <v>21</v>
      </c>
    </row>
    <row r="346" spans="1:15">
      <c r="A346" s="6" t="s">
        <v>432</v>
      </c>
      <c r="B346" s="3">
        <v>45988</v>
      </c>
      <c r="C346" s="4" t="s">
        <v>23</v>
      </c>
      <c r="D346" s="4" t="s">
        <v>17</v>
      </c>
      <c r="E346" s="4" t="s">
        <v>25</v>
      </c>
      <c r="F346" s="4" t="s">
        <v>89</v>
      </c>
      <c r="G346" s="4">
        <v>3</v>
      </c>
      <c r="H346" s="4">
        <v>120.46</v>
      </c>
      <c r="I346" s="4">
        <v>0.1</v>
      </c>
      <c r="J346" s="4">
        <v>325.24</v>
      </c>
      <c r="K346" s="4">
        <v>155.03</v>
      </c>
      <c r="L346" s="4" t="s">
        <v>40</v>
      </c>
      <c r="M346" s="4">
        <v>6</v>
      </c>
      <c r="N346" s="4">
        <v>2</v>
      </c>
      <c r="O346" s="4" t="s">
        <v>21</v>
      </c>
    </row>
    <row r="347" spans="1:15">
      <c r="A347" s="6" t="s">
        <v>152</v>
      </c>
      <c r="B347" s="3">
        <v>45751</v>
      </c>
      <c r="C347" s="4" t="s">
        <v>29</v>
      </c>
      <c r="D347" s="4" t="s">
        <v>17</v>
      </c>
      <c r="E347" s="4" t="s">
        <v>46</v>
      </c>
      <c r="F347" s="4" t="s">
        <v>68</v>
      </c>
      <c r="G347" s="4">
        <v>5</v>
      </c>
      <c r="H347" s="4">
        <v>97.18</v>
      </c>
      <c r="I347" s="4">
        <v>0.1</v>
      </c>
      <c r="J347" s="4">
        <v>437.31</v>
      </c>
      <c r="K347" s="4">
        <v>239.83</v>
      </c>
      <c r="L347" s="4" t="s">
        <v>33</v>
      </c>
      <c r="M347" s="4"/>
      <c r="N347" s="4"/>
      <c r="O347" s="4" t="s">
        <v>21</v>
      </c>
    </row>
    <row r="348" spans="1:15">
      <c r="A348" s="6" t="s">
        <v>463</v>
      </c>
      <c r="B348" s="3">
        <v>46019</v>
      </c>
      <c r="C348" s="4" t="s">
        <v>29</v>
      </c>
      <c r="D348" s="4" t="s">
        <v>17</v>
      </c>
      <c r="E348" s="4" t="s">
        <v>46</v>
      </c>
      <c r="F348" s="4" t="s">
        <v>49</v>
      </c>
      <c r="G348" s="4">
        <v>2</v>
      </c>
      <c r="H348" s="4">
        <v>316.27999999999997</v>
      </c>
      <c r="I348" s="4">
        <v>0.1</v>
      </c>
      <c r="J348" s="4">
        <v>569.29999999999995</v>
      </c>
      <c r="K348" s="4">
        <v>364.46</v>
      </c>
      <c r="L348" s="4" t="s">
        <v>40</v>
      </c>
      <c r="M348" s="4">
        <v>8</v>
      </c>
      <c r="N348" s="4">
        <v>5</v>
      </c>
      <c r="O348" s="4" t="s">
        <v>21</v>
      </c>
    </row>
    <row r="349" spans="1:15">
      <c r="A349" s="6" t="s">
        <v>441</v>
      </c>
      <c r="B349" s="3">
        <v>45999</v>
      </c>
      <c r="C349" s="4" t="s">
        <v>71</v>
      </c>
      <c r="D349" s="4" t="s">
        <v>24</v>
      </c>
      <c r="E349" s="4" t="s">
        <v>46</v>
      </c>
      <c r="F349" s="4" t="s">
        <v>49</v>
      </c>
      <c r="G349" s="4">
        <v>1</v>
      </c>
      <c r="H349" s="4">
        <v>289.04000000000002</v>
      </c>
      <c r="I349" s="4">
        <v>0.05</v>
      </c>
      <c r="J349" s="4">
        <v>274.58999999999997</v>
      </c>
      <c r="K349" s="4">
        <v>204.11</v>
      </c>
      <c r="L349" s="4" t="s">
        <v>20</v>
      </c>
      <c r="M349" s="4"/>
      <c r="N349" s="4"/>
      <c r="O349" s="4" t="s">
        <v>21</v>
      </c>
    </row>
    <row r="350" spans="1:15">
      <c r="A350" s="6" t="s">
        <v>127</v>
      </c>
      <c r="B350" s="3">
        <v>45723</v>
      </c>
      <c r="C350" s="4" t="s">
        <v>16</v>
      </c>
      <c r="D350" s="4" t="s">
        <v>17</v>
      </c>
      <c r="E350" s="4" t="s">
        <v>31</v>
      </c>
      <c r="F350" s="4" t="s">
        <v>91</v>
      </c>
      <c r="G350" s="4">
        <v>5</v>
      </c>
      <c r="H350" s="4">
        <v>66.44</v>
      </c>
      <c r="I350" s="4">
        <v>0</v>
      </c>
      <c r="J350" s="4">
        <v>332.2</v>
      </c>
      <c r="K350" s="4">
        <v>172.96</v>
      </c>
      <c r="L350" s="4" t="s">
        <v>20</v>
      </c>
      <c r="M350" s="4"/>
      <c r="N350" s="4"/>
      <c r="O350" s="4" t="s">
        <v>21</v>
      </c>
    </row>
    <row r="351" spans="1:15">
      <c r="A351" s="6" t="s">
        <v>122</v>
      </c>
      <c r="B351" s="3">
        <v>45718</v>
      </c>
      <c r="C351" s="4" t="s">
        <v>29</v>
      </c>
      <c r="D351" s="4" t="s">
        <v>24</v>
      </c>
      <c r="E351" s="4" t="s">
        <v>25</v>
      </c>
      <c r="F351" s="4" t="s">
        <v>26</v>
      </c>
      <c r="G351" s="4">
        <v>2</v>
      </c>
      <c r="H351" s="4">
        <v>231.18</v>
      </c>
      <c r="I351" s="4">
        <v>0.1</v>
      </c>
      <c r="J351" s="4">
        <v>416.12</v>
      </c>
      <c r="K351" s="4">
        <v>247.74</v>
      </c>
      <c r="L351" s="4" t="s">
        <v>20</v>
      </c>
      <c r="M351" s="4"/>
      <c r="N351" s="4"/>
      <c r="O351" s="4" t="s">
        <v>21</v>
      </c>
    </row>
    <row r="352" spans="1:15">
      <c r="A352" s="6" t="s">
        <v>278</v>
      </c>
      <c r="B352" s="3">
        <v>45852</v>
      </c>
      <c r="C352" s="4" t="s">
        <v>16</v>
      </c>
      <c r="D352" s="4" t="s">
        <v>17</v>
      </c>
      <c r="E352" s="4" t="s">
        <v>31</v>
      </c>
      <c r="F352" s="4" t="s">
        <v>32</v>
      </c>
      <c r="G352" s="4">
        <v>5</v>
      </c>
      <c r="H352" s="4">
        <v>37.450000000000003</v>
      </c>
      <c r="I352" s="4">
        <v>0.15</v>
      </c>
      <c r="J352" s="4">
        <v>159.16</v>
      </c>
      <c r="K352" s="4">
        <v>91.32</v>
      </c>
      <c r="L352" s="4" t="s">
        <v>40</v>
      </c>
      <c r="M352" s="4">
        <v>4</v>
      </c>
      <c r="N352" s="4">
        <v>2</v>
      </c>
      <c r="O352" s="4" t="s">
        <v>21</v>
      </c>
    </row>
    <row r="353" spans="1:15">
      <c r="A353" s="6" t="s">
        <v>60</v>
      </c>
      <c r="B353" s="3">
        <v>45674</v>
      </c>
      <c r="C353" s="4" t="s">
        <v>38</v>
      </c>
      <c r="D353" s="4" t="s">
        <v>24</v>
      </c>
      <c r="E353" s="4" t="s">
        <v>35</v>
      </c>
      <c r="F353" s="4" t="s">
        <v>55</v>
      </c>
      <c r="G353" s="4">
        <v>1</v>
      </c>
      <c r="H353" s="4">
        <v>51.65</v>
      </c>
      <c r="I353" s="4">
        <v>0.2</v>
      </c>
      <c r="J353" s="4">
        <v>41.32</v>
      </c>
      <c r="K353" s="4">
        <v>23.62</v>
      </c>
      <c r="L353" s="4" t="s">
        <v>40</v>
      </c>
      <c r="M353" s="4">
        <v>1</v>
      </c>
      <c r="N353" s="4">
        <v>4</v>
      </c>
      <c r="O353" s="4" t="s">
        <v>21</v>
      </c>
    </row>
    <row r="354" spans="1:15">
      <c r="A354" s="6" t="s">
        <v>173</v>
      </c>
      <c r="B354" s="3">
        <v>45767</v>
      </c>
      <c r="C354" s="4" t="s">
        <v>38</v>
      </c>
      <c r="D354" s="4" t="s">
        <v>24</v>
      </c>
      <c r="E354" s="4" t="s">
        <v>35</v>
      </c>
      <c r="F354" s="4" t="s">
        <v>36</v>
      </c>
      <c r="G354" s="4">
        <v>4</v>
      </c>
      <c r="H354" s="4">
        <v>43.5</v>
      </c>
      <c r="I354" s="4">
        <v>0</v>
      </c>
      <c r="J354" s="4">
        <v>174</v>
      </c>
      <c r="K354" s="4">
        <v>54.22</v>
      </c>
      <c r="L354" s="4" t="s">
        <v>33</v>
      </c>
      <c r="M354" s="4"/>
      <c r="N354" s="4"/>
      <c r="O354" s="4" t="s">
        <v>21</v>
      </c>
    </row>
    <row r="355" spans="1:15">
      <c r="A355" s="6" t="s">
        <v>227</v>
      </c>
      <c r="B355" s="3">
        <v>45816</v>
      </c>
      <c r="C355" s="4" t="s">
        <v>16</v>
      </c>
      <c r="D355" s="4" t="s">
        <v>17</v>
      </c>
      <c r="E355" s="4" t="s">
        <v>18</v>
      </c>
      <c r="F355" s="4" t="s">
        <v>80</v>
      </c>
      <c r="G355" s="4">
        <v>3</v>
      </c>
      <c r="H355" s="4">
        <v>124.16</v>
      </c>
      <c r="I355" s="4">
        <v>0</v>
      </c>
      <c r="J355" s="4">
        <v>372.48</v>
      </c>
      <c r="K355" s="4">
        <v>158.94</v>
      </c>
      <c r="L355" s="4" t="s">
        <v>33</v>
      </c>
      <c r="M355" s="4"/>
      <c r="N355" s="4"/>
      <c r="O355" s="4" t="s">
        <v>21</v>
      </c>
    </row>
    <row r="356" spans="1:15">
      <c r="A356" s="6" t="s">
        <v>456</v>
      </c>
      <c r="B356" s="3">
        <v>46011</v>
      </c>
      <c r="C356" s="4" t="s">
        <v>16</v>
      </c>
      <c r="D356" s="4" t="s">
        <v>24</v>
      </c>
      <c r="E356" s="4" t="s">
        <v>35</v>
      </c>
      <c r="F356" s="4" t="s">
        <v>36</v>
      </c>
      <c r="G356" s="4">
        <v>2</v>
      </c>
      <c r="H356" s="4">
        <v>37.520000000000003</v>
      </c>
      <c r="I356" s="4">
        <v>0.05</v>
      </c>
      <c r="J356" s="4">
        <v>71.290000000000006</v>
      </c>
      <c r="K356" s="4">
        <v>26.62</v>
      </c>
      <c r="L356" s="4" t="s">
        <v>40</v>
      </c>
      <c r="M356" s="4">
        <v>5</v>
      </c>
      <c r="N356" s="4">
        <v>4</v>
      </c>
      <c r="O356" s="4" t="s">
        <v>21</v>
      </c>
    </row>
    <row r="357" spans="1:15">
      <c r="A357" s="6" t="s">
        <v>464</v>
      </c>
      <c r="B357" s="3">
        <v>46020</v>
      </c>
      <c r="C357" s="4" t="s">
        <v>38</v>
      </c>
      <c r="D357" s="4" t="s">
        <v>30</v>
      </c>
      <c r="E357" s="4" t="s">
        <v>18</v>
      </c>
      <c r="F357" s="4" t="s">
        <v>57</v>
      </c>
      <c r="G357" s="4">
        <v>2</v>
      </c>
      <c r="H357" s="4">
        <v>40.89</v>
      </c>
      <c r="I357" s="4">
        <v>0</v>
      </c>
      <c r="J357" s="4">
        <v>81.78</v>
      </c>
      <c r="K357" s="4">
        <v>37.28</v>
      </c>
      <c r="L357" s="4" t="s">
        <v>14</v>
      </c>
      <c r="M357" s="4">
        <v>5</v>
      </c>
      <c r="N357" s="4">
        <v>1</v>
      </c>
      <c r="O357" s="4" t="s">
        <v>27</v>
      </c>
    </row>
    <row r="358" spans="1:15">
      <c r="A358" s="6" t="s">
        <v>113</v>
      </c>
      <c r="B358" s="3">
        <v>45713</v>
      </c>
      <c r="C358" s="4" t="s">
        <v>71</v>
      </c>
      <c r="D358" s="4" t="s">
        <v>24</v>
      </c>
      <c r="E358" s="4" t="s">
        <v>25</v>
      </c>
      <c r="F358" s="4" t="s">
        <v>26</v>
      </c>
      <c r="G358" s="4">
        <v>2</v>
      </c>
      <c r="H358" s="4">
        <v>224.31</v>
      </c>
      <c r="I358" s="4">
        <v>0</v>
      </c>
      <c r="J358" s="4">
        <v>448.62</v>
      </c>
      <c r="K358" s="4">
        <v>280.63</v>
      </c>
      <c r="L358" s="4" t="s">
        <v>40</v>
      </c>
      <c r="M358" s="4">
        <v>1</v>
      </c>
      <c r="N358" s="4">
        <v>1</v>
      </c>
      <c r="O358" s="4" t="s">
        <v>21</v>
      </c>
    </row>
    <row r="359" spans="1:15">
      <c r="A359" s="6" t="s">
        <v>424</v>
      </c>
      <c r="B359" s="3">
        <v>45983</v>
      </c>
      <c r="C359" s="4" t="s">
        <v>29</v>
      </c>
      <c r="D359" s="4" t="s">
        <v>17</v>
      </c>
      <c r="E359" s="4" t="s">
        <v>25</v>
      </c>
      <c r="F359" s="4" t="s">
        <v>63</v>
      </c>
      <c r="G359" s="4">
        <v>1</v>
      </c>
      <c r="H359" s="4">
        <v>45.01</v>
      </c>
      <c r="I359" s="4">
        <v>0</v>
      </c>
      <c r="J359" s="4">
        <v>45.01</v>
      </c>
      <c r="K359" s="4">
        <v>20.32</v>
      </c>
      <c r="L359" s="4" t="s">
        <v>14</v>
      </c>
      <c r="M359" s="4">
        <v>4</v>
      </c>
      <c r="N359" s="4">
        <v>1</v>
      </c>
      <c r="O359" s="4" t="s">
        <v>27</v>
      </c>
    </row>
    <row r="360" spans="1:15">
      <c r="A360" s="6" t="s">
        <v>78</v>
      </c>
      <c r="B360" s="3">
        <v>45691</v>
      </c>
      <c r="C360" s="4" t="s">
        <v>23</v>
      </c>
      <c r="D360" s="4" t="s">
        <v>17</v>
      </c>
      <c r="E360" s="4" t="s">
        <v>35</v>
      </c>
      <c r="F360" s="4" t="s">
        <v>39</v>
      </c>
      <c r="G360" s="4">
        <v>1</v>
      </c>
      <c r="H360" s="4">
        <v>81.239999999999995</v>
      </c>
      <c r="I360" s="4">
        <v>0</v>
      </c>
      <c r="J360" s="4">
        <v>81.239999999999995</v>
      </c>
      <c r="K360" s="4">
        <v>31.04</v>
      </c>
      <c r="L360" s="4" t="s">
        <v>20</v>
      </c>
      <c r="M360" s="4"/>
      <c r="N360" s="4"/>
      <c r="O360" s="4" t="s">
        <v>21</v>
      </c>
    </row>
    <row r="361" spans="1:15">
      <c r="A361" s="6" t="s">
        <v>365</v>
      </c>
      <c r="B361" s="3">
        <v>45931</v>
      </c>
      <c r="C361" s="4" t="s">
        <v>16</v>
      </c>
      <c r="D361" s="4" t="s">
        <v>24</v>
      </c>
      <c r="E361" s="4" t="s">
        <v>25</v>
      </c>
      <c r="F361" s="4" t="s">
        <v>63</v>
      </c>
      <c r="G361" s="4">
        <v>1</v>
      </c>
      <c r="H361" s="4">
        <v>45.96</v>
      </c>
      <c r="I361" s="4">
        <v>0.1</v>
      </c>
      <c r="J361" s="4">
        <v>41.36</v>
      </c>
      <c r="K361" s="4">
        <v>19</v>
      </c>
      <c r="L361" s="4" t="s">
        <v>33</v>
      </c>
      <c r="M361" s="4"/>
      <c r="N361" s="4"/>
      <c r="O361" s="4" t="s">
        <v>21</v>
      </c>
    </row>
    <row r="362" spans="1:15">
      <c r="A362" s="6" t="s">
        <v>411</v>
      </c>
      <c r="B362" s="3">
        <v>45966</v>
      </c>
      <c r="C362" s="4" t="s">
        <v>23</v>
      </c>
      <c r="D362" s="4" t="s">
        <v>17</v>
      </c>
      <c r="E362" s="4" t="s">
        <v>31</v>
      </c>
      <c r="F362" s="4" t="s">
        <v>32</v>
      </c>
      <c r="G362" s="4">
        <v>4</v>
      </c>
      <c r="H362" s="4">
        <v>38.39</v>
      </c>
      <c r="I362" s="4">
        <v>0.1</v>
      </c>
      <c r="J362" s="4">
        <v>138.19999999999999</v>
      </c>
      <c r="K362" s="4">
        <v>69.94</v>
      </c>
      <c r="L362" s="4" t="s">
        <v>40</v>
      </c>
      <c r="M362" s="4">
        <v>1</v>
      </c>
      <c r="N362" s="4">
        <v>4</v>
      </c>
      <c r="O362" s="4" t="s">
        <v>21</v>
      </c>
    </row>
    <row r="363" spans="1:15">
      <c r="A363" s="6" t="s">
        <v>425</v>
      </c>
      <c r="B363" s="3">
        <v>45983</v>
      </c>
      <c r="C363" s="4" t="s">
        <v>16</v>
      </c>
      <c r="D363" s="4" t="s">
        <v>17</v>
      </c>
      <c r="E363" s="4" t="s">
        <v>18</v>
      </c>
      <c r="F363" s="4" t="s">
        <v>80</v>
      </c>
      <c r="G363" s="4">
        <v>4</v>
      </c>
      <c r="H363" s="4">
        <v>119.8</v>
      </c>
      <c r="I363" s="4">
        <v>0</v>
      </c>
      <c r="J363" s="4">
        <v>479.2</v>
      </c>
      <c r="K363" s="4">
        <v>208.52</v>
      </c>
      <c r="L363" s="4" t="s">
        <v>14</v>
      </c>
      <c r="M363" s="4">
        <v>8</v>
      </c>
      <c r="N363" s="4">
        <v>4</v>
      </c>
      <c r="O363" s="4" t="s">
        <v>27</v>
      </c>
    </row>
    <row r="364" spans="1:15">
      <c r="A364" s="6" t="s">
        <v>140</v>
      </c>
      <c r="B364" s="3">
        <v>45739</v>
      </c>
      <c r="C364" s="4" t="s">
        <v>38</v>
      </c>
      <c r="D364" s="4" t="s">
        <v>24</v>
      </c>
      <c r="E364" s="4" t="s">
        <v>31</v>
      </c>
      <c r="F364" s="4" t="s">
        <v>91</v>
      </c>
      <c r="G364" s="4">
        <v>1</v>
      </c>
      <c r="H364" s="4">
        <v>61.04</v>
      </c>
      <c r="I364" s="4">
        <v>0</v>
      </c>
      <c r="J364" s="4">
        <v>61.04</v>
      </c>
      <c r="K364" s="4">
        <v>31.43</v>
      </c>
      <c r="L364" s="4" t="s">
        <v>40</v>
      </c>
      <c r="M364" s="4">
        <v>5</v>
      </c>
      <c r="N364" s="4">
        <v>4</v>
      </c>
      <c r="O364" s="4" t="s">
        <v>21</v>
      </c>
    </row>
    <row r="365" spans="1:15">
      <c r="A365" s="6" t="s">
        <v>426</v>
      </c>
      <c r="B365" s="3">
        <v>45984</v>
      </c>
      <c r="C365" s="4" t="s">
        <v>23</v>
      </c>
      <c r="D365" s="4" t="s">
        <v>30</v>
      </c>
      <c r="E365" s="4" t="s">
        <v>18</v>
      </c>
      <c r="F365" s="4" t="s">
        <v>19</v>
      </c>
      <c r="G365" s="4">
        <v>3</v>
      </c>
      <c r="H365" s="4">
        <v>162.94999999999999</v>
      </c>
      <c r="I365" s="4">
        <v>0</v>
      </c>
      <c r="J365" s="4">
        <v>488.85</v>
      </c>
      <c r="K365" s="4">
        <v>243.79</v>
      </c>
      <c r="L365" s="4" t="s">
        <v>40</v>
      </c>
      <c r="M365" s="4">
        <v>6</v>
      </c>
      <c r="N365" s="4">
        <v>4</v>
      </c>
      <c r="O365" s="4" t="s">
        <v>21</v>
      </c>
    </row>
    <row r="366" spans="1:15">
      <c r="A366" s="6" t="s">
        <v>94</v>
      </c>
      <c r="B366" s="3">
        <v>45700</v>
      </c>
      <c r="C366" s="4" t="s">
        <v>29</v>
      </c>
      <c r="D366" s="4" t="s">
        <v>24</v>
      </c>
      <c r="E366" s="4" t="s">
        <v>31</v>
      </c>
      <c r="F366" s="4" t="s">
        <v>59</v>
      </c>
      <c r="G366" s="4">
        <v>3</v>
      </c>
      <c r="H366" s="4">
        <v>43.8</v>
      </c>
      <c r="I366" s="4">
        <v>0</v>
      </c>
      <c r="J366" s="4">
        <v>131.4</v>
      </c>
      <c r="K366" s="4">
        <v>75.94</v>
      </c>
      <c r="L366" s="4" t="s">
        <v>14</v>
      </c>
      <c r="M366" s="4">
        <v>1</v>
      </c>
      <c r="N366" s="4">
        <v>5</v>
      </c>
      <c r="O366" s="4" t="s">
        <v>27</v>
      </c>
    </row>
    <row r="367" spans="1:15">
      <c r="A367" s="6" t="s">
        <v>275</v>
      </c>
      <c r="B367" s="3">
        <v>45847</v>
      </c>
      <c r="C367" s="4" t="s">
        <v>29</v>
      </c>
      <c r="D367" s="4" t="s">
        <v>17</v>
      </c>
      <c r="E367" s="4" t="s">
        <v>25</v>
      </c>
      <c r="F367" s="4" t="s">
        <v>63</v>
      </c>
      <c r="G367" s="4">
        <v>4</v>
      </c>
      <c r="H367" s="4">
        <v>48.55</v>
      </c>
      <c r="I367" s="4">
        <v>0.1</v>
      </c>
      <c r="J367" s="4">
        <v>174.78</v>
      </c>
      <c r="K367" s="4">
        <v>73.77</v>
      </c>
      <c r="L367" s="4" t="s">
        <v>40</v>
      </c>
      <c r="M367" s="4">
        <v>7</v>
      </c>
      <c r="N367" s="4">
        <v>2</v>
      </c>
      <c r="O367" s="4" t="s">
        <v>21</v>
      </c>
    </row>
    <row r="368" spans="1:15">
      <c r="A368" s="6" t="s">
        <v>253</v>
      </c>
      <c r="B368" s="3">
        <v>45829</v>
      </c>
      <c r="C368" s="4" t="s">
        <v>16</v>
      </c>
      <c r="D368" s="4" t="s">
        <v>24</v>
      </c>
      <c r="E368" s="4" t="s">
        <v>31</v>
      </c>
      <c r="F368" s="4" t="s">
        <v>91</v>
      </c>
      <c r="G368" s="4">
        <v>4</v>
      </c>
      <c r="H368" s="4">
        <v>60.31</v>
      </c>
      <c r="I368" s="4">
        <v>0.1</v>
      </c>
      <c r="J368" s="4">
        <v>217.12</v>
      </c>
      <c r="K368" s="4">
        <v>142.69999999999999</v>
      </c>
      <c r="L368" s="4" t="s">
        <v>14</v>
      </c>
      <c r="M368" s="4">
        <v>6</v>
      </c>
      <c r="N368" s="4">
        <v>2</v>
      </c>
      <c r="O368" s="4" t="s">
        <v>27</v>
      </c>
    </row>
    <row r="369" spans="1:15">
      <c r="A369" s="6" t="s">
        <v>184</v>
      </c>
      <c r="B369" s="3">
        <v>45773</v>
      </c>
      <c r="C369" s="4" t="s">
        <v>16</v>
      </c>
      <c r="D369" s="4" t="s">
        <v>30</v>
      </c>
      <c r="E369" s="4" t="s">
        <v>18</v>
      </c>
      <c r="F369" s="4" t="s">
        <v>19</v>
      </c>
      <c r="G369" s="4">
        <v>2</v>
      </c>
      <c r="H369" s="4">
        <v>138</v>
      </c>
      <c r="I369" s="4">
        <v>0.05</v>
      </c>
      <c r="J369" s="4">
        <v>262.2</v>
      </c>
      <c r="K369" s="4">
        <v>147.62</v>
      </c>
      <c r="L369" s="4" t="s">
        <v>40</v>
      </c>
      <c r="M369" s="4">
        <v>2</v>
      </c>
      <c r="N369" s="4">
        <v>2</v>
      </c>
      <c r="O369" s="4" t="s">
        <v>21</v>
      </c>
    </row>
    <row r="370" spans="1:15">
      <c r="A370" s="6" t="s">
        <v>43</v>
      </c>
      <c r="B370" s="3">
        <v>45666</v>
      </c>
      <c r="C370" s="4" t="s">
        <v>16</v>
      </c>
      <c r="D370" s="4" t="s">
        <v>24</v>
      </c>
      <c r="E370" s="4" t="s">
        <v>35</v>
      </c>
      <c r="F370" s="4" t="s">
        <v>36</v>
      </c>
      <c r="G370" s="4">
        <v>2</v>
      </c>
      <c r="H370" s="4">
        <v>40.5</v>
      </c>
      <c r="I370" s="4">
        <v>0.15</v>
      </c>
      <c r="J370" s="4">
        <v>68.849999999999994</v>
      </c>
      <c r="K370" s="4">
        <v>29.88</v>
      </c>
      <c r="L370" s="4" t="s">
        <v>20</v>
      </c>
      <c r="M370" s="4"/>
      <c r="N370" s="4"/>
      <c r="O370" s="4" t="s">
        <v>21</v>
      </c>
    </row>
    <row r="371" spans="1:15">
      <c r="A371" s="6" t="s">
        <v>375</v>
      </c>
      <c r="B371" s="3">
        <v>45939</v>
      </c>
      <c r="C371" s="4" t="s">
        <v>29</v>
      </c>
      <c r="D371" s="4" t="s">
        <v>17</v>
      </c>
      <c r="E371" s="4" t="s">
        <v>35</v>
      </c>
      <c r="F371" s="4" t="s">
        <v>39</v>
      </c>
      <c r="G371" s="4">
        <v>2</v>
      </c>
      <c r="H371" s="4">
        <v>74.59</v>
      </c>
      <c r="I371" s="4">
        <v>0.15</v>
      </c>
      <c r="J371" s="4">
        <v>126.8</v>
      </c>
      <c r="K371" s="4">
        <v>68.83</v>
      </c>
      <c r="L371" s="4" t="s">
        <v>20</v>
      </c>
      <c r="M371" s="4"/>
      <c r="N371" s="4"/>
      <c r="O371" s="4" t="s">
        <v>21</v>
      </c>
    </row>
    <row r="372" spans="1:15">
      <c r="A372" s="6" t="s">
        <v>194</v>
      </c>
      <c r="B372" s="3">
        <v>45780</v>
      </c>
      <c r="C372" s="4" t="s">
        <v>16</v>
      </c>
      <c r="D372" s="4" t="s">
        <v>17</v>
      </c>
      <c r="E372" s="4" t="s">
        <v>18</v>
      </c>
      <c r="F372" s="4" t="s">
        <v>57</v>
      </c>
      <c r="G372" s="4">
        <v>1</v>
      </c>
      <c r="H372" s="4">
        <v>41.41</v>
      </c>
      <c r="I372" s="4">
        <v>0.15</v>
      </c>
      <c r="J372" s="4">
        <v>35.200000000000003</v>
      </c>
      <c r="K372" s="4">
        <v>17.45</v>
      </c>
      <c r="L372" s="4" t="s">
        <v>40</v>
      </c>
      <c r="M372" s="4">
        <v>5</v>
      </c>
      <c r="N372" s="4">
        <v>1</v>
      </c>
      <c r="O372" s="4" t="s">
        <v>21</v>
      </c>
    </row>
    <row r="373" spans="1:15">
      <c r="A373" s="6" t="s">
        <v>323</v>
      </c>
      <c r="B373" s="3">
        <v>45899</v>
      </c>
      <c r="C373" s="4" t="s">
        <v>38</v>
      </c>
      <c r="D373" s="4" t="s">
        <v>30</v>
      </c>
      <c r="E373" s="4" t="s">
        <v>46</v>
      </c>
      <c r="F373" s="4" t="s">
        <v>68</v>
      </c>
      <c r="G373" s="4">
        <v>1</v>
      </c>
      <c r="H373" s="4">
        <v>89.83</v>
      </c>
      <c r="I373" s="4">
        <v>0</v>
      </c>
      <c r="J373" s="4">
        <v>89.83</v>
      </c>
      <c r="K373" s="4">
        <v>45.61</v>
      </c>
      <c r="L373" s="4" t="s">
        <v>40</v>
      </c>
      <c r="M373" s="4">
        <v>3</v>
      </c>
      <c r="N373" s="4">
        <v>1</v>
      </c>
      <c r="O373" s="4" t="s">
        <v>21</v>
      </c>
    </row>
    <row r="374" spans="1:15">
      <c r="A374" s="6" t="s">
        <v>217</v>
      </c>
      <c r="B374" s="3">
        <v>45807</v>
      </c>
      <c r="C374" s="4" t="s">
        <v>29</v>
      </c>
      <c r="D374" s="4" t="s">
        <v>24</v>
      </c>
      <c r="E374" s="4" t="s">
        <v>31</v>
      </c>
      <c r="F374" s="4" t="s">
        <v>91</v>
      </c>
      <c r="G374" s="4">
        <v>3</v>
      </c>
      <c r="H374" s="4">
        <v>67.73</v>
      </c>
      <c r="I374" s="4">
        <v>0.1</v>
      </c>
      <c r="J374" s="4">
        <v>182.87</v>
      </c>
      <c r="K374" s="4">
        <v>105.33</v>
      </c>
      <c r="L374" s="4" t="s">
        <v>40</v>
      </c>
      <c r="M374" s="4">
        <v>7</v>
      </c>
      <c r="N374" s="4">
        <v>1</v>
      </c>
      <c r="O374" s="4" t="s">
        <v>21</v>
      </c>
    </row>
    <row r="375" spans="1:15">
      <c r="A375" s="6" t="s">
        <v>209</v>
      </c>
      <c r="B375" s="3">
        <v>45794</v>
      </c>
      <c r="C375" s="4" t="s">
        <v>16</v>
      </c>
      <c r="D375" s="4" t="s">
        <v>24</v>
      </c>
      <c r="E375" s="4" t="s">
        <v>46</v>
      </c>
      <c r="F375" s="4" t="s">
        <v>47</v>
      </c>
      <c r="G375" s="4">
        <v>4</v>
      </c>
      <c r="H375" s="4">
        <v>171.92</v>
      </c>
      <c r="I375" s="4">
        <v>0</v>
      </c>
      <c r="J375" s="4">
        <v>687.68</v>
      </c>
      <c r="K375" s="4">
        <v>355.33</v>
      </c>
      <c r="L375" s="4" t="s">
        <v>33</v>
      </c>
      <c r="M375" s="4"/>
      <c r="N375" s="4"/>
      <c r="O375" s="4" t="s">
        <v>21</v>
      </c>
    </row>
    <row r="376" spans="1:15">
      <c r="A376" s="6" t="s">
        <v>420</v>
      </c>
      <c r="B376" s="3">
        <v>45981</v>
      </c>
      <c r="C376" s="4" t="s">
        <v>29</v>
      </c>
      <c r="D376" s="4" t="s">
        <v>24</v>
      </c>
      <c r="E376" s="4" t="s">
        <v>25</v>
      </c>
      <c r="F376" s="4" t="s">
        <v>26</v>
      </c>
      <c r="G376" s="4">
        <v>3</v>
      </c>
      <c r="H376" s="4">
        <v>236.8</v>
      </c>
      <c r="I376" s="4">
        <v>0</v>
      </c>
      <c r="J376" s="4">
        <v>710.4</v>
      </c>
      <c r="K376" s="4">
        <v>380.81</v>
      </c>
      <c r="L376" s="4" t="s">
        <v>33</v>
      </c>
      <c r="M376" s="4"/>
      <c r="N376" s="4"/>
      <c r="O376" s="4" t="s">
        <v>21</v>
      </c>
    </row>
    <row r="377" spans="1:15">
      <c r="A377" s="6" t="s">
        <v>83</v>
      </c>
      <c r="B377" s="3">
        <v>45692</v>
      </c>
      <c r="C377" s="4" t="s">
        <v>16</v>
      </c>
      <c r="D377" s="4" t="s">
        <v>30</v>
      </c>
      <c r="E377" s="4" t="s">
        <v>18</v>
      </c>
      <c r="F377" s="4" t="s">
        <v>57</v>
      </c>
      <c r="G377" s="4">
        <v>1</v>
      </c>
      <c r="H377" s="4">
        <v>44.97</v>
      </c>
      <c r="I377" s="4">
        <v>0.1</v>
      </c>
      <c r="J377" s="4">
        <v>40.47</v>
      </c>
      <c r="K377" s="4">
        <v>17.940000000000001</v>
      </c>
      <c r="L377" s="4" t="s">
        <v>14</v>
      </c>
      <c r="M377" s="4">
        <v>4</v>
      </c>
      <c r="N377" s="4">
        <v>2</v>
      </c>
      <c r="O377" s="4" t="s">
        <v>27</v>
      </c>
    </row>
    <row r="378" spans="1:15">
      <c r="A378" s="6" t="s">
        <v>359</v>
      </c>
      <c r="B378" s="3">
        <v>45926</v>
      </c>
      <c r="C378" s="4" t="s">
        <v>29</v>
      </c>
      <c r="D378" s="4" t="s">
        <v>17</v>
      </c>
      <c r="E378" s="4" t="s">
        <v>35</v>
      </c>
      <c r="F378" s="4" t="s">
        <v>36</v>
      </c>
      <c r="G378" s="4">
        <v>5</v>
      </c>
      <c r="H378" s="4">
        <v>36.380000000000003</v>
      </c>
      <c r="I378" s="4">
        <v>0.1</v>
      </c>
      <c r="J378" s="4">
        <v>163.71</v>
      </c>
      <c r="K378" s="4">
        <v>65.09</v>
      </c>
      <c r="L378" s="4" t="s">
        <v>40</v>
      </c>
      <c r="M378" s="4">
        <v>1</v>
      </c>
      <c r="N378" s="4">
        <v>1</v>
      </c>
      <c r="O378" s="4" t="s">
        <v>21</v>
      </c>
    </row>
    <row r="379" spans="1:15">
      <c r="A379" s="6" t="s">
        <v>364</v>
      </c>
      <c r="B379" s="3">
        <v>45930</v>
      </c>
      <c r="C379" s="4" t="s">
        <v>38</v>
      </c>
      <c r="D379" s="4" t="s">
        <v>17</v>
      </c>
      <c r="E379" s="4" t="s">
        <v>31</v>
      </c>
      <c r="F379" s="4" t="s">
        <v>59</v>
      </c>
      <c r="G379" s="4">
        <v>3</v>
      </c>
      <c r="H379" s="4">
        <v>46</v>
      </c>
      <c r="I379" s="4">
        <v>0.1</v>
      </c>
      <c r="J379" s="4">
        <v>124.2</v>
      </c>
      <c r="K379" s="4">
        <v>75.349999999999994</v>
      </c>
      <c r="L379" s="4" t="s">
        <v>40</v>
      </c>
      <c r="M379" s="4">
        <v>1</v>
      </c>
      <c r="N379" s="4">
        <v>1</v>
      </c>
      <c r="O379" s="4" t="s">
        <v>21</v>
      </c>
    </row>
    <row r="380" spans="1:15">
      <c r="A380" s="6" t="s">
        <v>210</v>
      </c>
      <c r="B380" s="3">
        <v>45796</v>
      </c>
      <c r="C380" s="4" t="s">
        <v>71</v>
      </c>
      <c r="D380" s="4" t="s">
        <v>17</v>
      </c>
      <c r="E380" s="4" t="s">
        <v>35</v>
      </c>
      <c r="F380" s="4" t="s">
        <v>39</v>
      </c>
      <c r="G380" s="4">
        <v>1</v>
      </c>
      <c r="H380" s="4">
        <v>78.12</v>
      </c>
      <c r="I380" s="4">
        <v>0.05</v>
      </c>
      <c r="J380" s="4">
        <v>74.209999999999994</v>
      </c>
      <c r="K380" s="4">
        <v>33.54</v>
      </c>
      <c r="L380" s="4" t="s">
        <v>40</v>
      </c>
      <c r="M380" s="4">
        <v>5</v>
      </c>
      <c r="N380" s="4">
        <v>1</v>
      </c>
      <c r="O380" s="4" t="s">
        <v>21</v>
      </c>
    </row>
    <row r="381" spans="1:15">
      <c r="A381" s="6" t="s">
        <v>154</v>
      </c>
      <c r="B381" s="3">
        <v>45753</v>
      </c>
      <c r="C381" s="4" t="s">
        <v>16</v>
      </c>
      <c r="D381" s="4" t="s">
        <v>17</v>
      </c>
      <c r="E381" s="4" t="s">
        <v>18</v>
      </c>
      <c r="F381" s="4" t="s">
        <v>57</v>
      </c>
      <c r="G381" s="4">
        <v>3</v>
      </c>
      <c r="H381" s="4">
        <v>42.97</v>
      </c>
      <c r="I381" s="4">
        <v>0.15</v>
      </c>
      <c r="J381" s="4">
        <v>109.57</v>
      </c>
      <c r="K381" s="4">
        <v>49.91</v>
      </c>
      <c r="L381" s="4" t="s">
        <v>40</v>
      </c>
      <c r="M381" s="4">
        <v>2</v>
      </c>
      <c r="N381" s="4">
        <v>2</v>
      </c>
      <c r="O381" s="4" t="s">
        <v>21</v>
      </c>
    </row>
    <row r="382" spans="1:15">
      <c r="A382" s="6" t="s">
        <v>15</v>
      </c>
      <c r="B382" s="3">
        <v>45659</v>
      </c>
      <c r="C382" s="4" t="s">
        <v>16</v>
      </c>
      <c r="D382" s="4" t="s">
        <v>17</v>
      </c>
      <c r="E382" s="4" t="s">
        <v>18</v>
      </c>
      <c r="F382" s="4" t="s">
        <v>19</v>
      </c>
      <c r="G382" s="4">
        <v>5</v>
      </c>
      <c r="H382" s="4">
        <v>150.62</v>
      </c>
      <c r="I382" s="4">
        <v>0</v>
      </c>
      <c r="J382" s="4">
        <v>753.1</v>
      </c>
      <c r="K382" s="4">
        <v>380.02</v>
      </c>
      <c r="L382" s="4" t="s">
        <v>20</v>
      </c>
      <c r="M382" s="4"/>
      <c r="N382" s="4"/>
      <c r="O382" s="4" t="s">
        <v>21</v>
      </c>
    </row>
    <row r="383" spans="1:15">
      <c r="A383" s="6" t="s">
        <v>439</v>
      </c>
      <c r="B383" s="3">
        <v>45999</v>
      </c>
      <c r="C383" s="4" t="s">
        <v>29</v>
      </c>
      <c r="D383" s="4" t="s">
        <v>17</v>
      </c>
      <c r="E383" s="4" t="s">
        <v>18</v>
      </c>
      <c r="F383" s="4" t="s">
        <v>57</v>
      </c>
      <c r="G383" s="4">
        <v>3</v>
      </c>
      <c r="H383" s="4">
        <v>45.81</v>
      </c>
      <c r="I383" s="4">
        <v>0.1</v>
      </c>
      <c r="J383" s="4">
        <v>123.69</v>
      </c>
      <c r="K383" s="4">
        <v>56.37</v>
      </c>
      <c r="L383" s="4" t="s">
        <v>33</v>
      </c>
      <c r="M383" s="4"/>
      <c r="N383" s="4"/>
      <c r="O383" s="4" t="s">
        <v>21</v>
      </c>
    </row>
    <row r="384" spans="1:15">
      <c r="A384" s="6" t="s">
        <v>446</v>
      </c>
      <c r="B384" s="3">
        <v>46003</v>
      </c>
      <c r="C384" s="4" t="s">
        <v>29</v>
      </c>
      <c r="D384" s="4" t="s">
        <v>24</v>
      </c>
      <c r="E384" s="4" t="s">
        <v>46</v>
      </c>
      <c r="F384" s="4" t="s">
        <v>68</v>
      </c>
      <c r="G384" s="4">
        <v>1</v>
      </c>
      <c r="H384" s="4">
        <v>94.91</v>
      </c>
      <c r="I384" s="4">
        <v>0</v>
      </c>
      <c r="J384" s="4">
        <v>94.91</v>
      </c>
      <c r="K384" s="4">
        <v>46.9</v>
      </c>
      <c r="L384" s="4" t="s">
        <v>40</v>
      </c>
      <c r="M384" s="4">
        <v>5</v>
      </c>
      <c r="N384" s="4">
        <v>1</v>
      </c>
      <c r="O384" s="4" t="s">
        <v>21</v>
      </c>
    </row>
    <row r="385" spans="1:15">
      <c r="A385" s="6" t="s">
        <v>149</v>
      </c>
      <c r="B385" s="3">
        <v>45745</v>
      </c>
      <c r="C385" s="4" t="s">
        <v>29</v>
      </c>
      <c r="D385" s="4" t="s">
        <v>24</v>
      </c>
      <c r="E385" s="4" t="s">
        <v>35</v>
      </c>
      <c r="F385" s="4" t="s">
        <v>36</v>
      </c>
      <c r="G385" s="4">
        <v>1</v>
      </c>
      <c r="H385" s="4">
        <v>40.770000000000003</v>
      </c>
      <c r="I385" s="4">
        <v>0.1</v>
      </c>
      <c r="J385" s="4">
        <v>36.69</v>
      </c>
      <c r="K385" s="4">
        <v>13.58</v>
      </c>
      <c r="L385" s="4" t="s">
        <v>40</v>
      </c>
      <c r="M385" s="4">
        <v>3</v>
      </c>
      <c r="N385" s="4">
        <v>4</v>
      </c>
      <c r="O385" s="4" t="s">
        <v>21</v>
      </c>
    </row>
    <row r="386" spans="1:15">
      <c r="A386" s="6" t="s">
        <v>48</v>
      </c>
      <c r="B386" s="3">
        <v>45669</v>
      </c>
      <c r="C386" s="4" t="s">
        <v>29</v>
      </c>
      <c r="D386" s="4" t="s">
        <v>17</v>
      </c>
      <c r="E386" s="4" t="s">
        <v>46</v>
      </c>
      <c r="F386" s="4" t="s">
        <v>49</v>
      </c>
      <c r="G386" s="4">
        <v>3</v>
      </c>
      <c r="H386" s="4">
        <v>290.32</v>
      </c>
      <c r="I386" s="4">
        <v>0.15</v>
      </c>
      <c r="J386" s="4">
        <v>740.32</v>
      </c>
      <c r="K386" s="4">
        <v>602.39</v>
      </c>
      <c r="L386" s="4" t="s">
        <v>40</v>
      </c>
      <c r="M386" s="4">
        <v>2</v>
      </c>
      <c r="N386" s="4">
        <v>4</v>
      </c>
      <c r="O386" s="4" t="s">
        <v>21</v>
      </c>
    </row>
    <row r="387" spans="1:15">
      <c r="A387" s="6" t="s">
        <v>98</v>
      </c>
      <c r="B387" s="3">
        <v>45702</v>
      </c>
      <c r="C387" s="4" t="s">
        <v>23</v>
      </c>
      <c r="D387" s="4" t="s">
        <v>24</v>
      </c>
      <c r="E387" s="4" t="s">
        <v>31</v>
      </c>
      <c r="F387" s="4" t="s">
        <v>91</v>
      </c>
      <c r="G387" s="4">
        <v>3</v>
      </c>
      <c r="H387" s="4">
        <v>62.23</v>
      </c>
      <c r="I387" s="4">
        <v>0.2</v>
      </c>
      <c r="J387" s="4">
        <v>149.35</v>
      </c>
      <c r="K387" s="4">
        <v>107.98</v>
      </c>
      <c r="L387" s="4" t="s">
        <v>40</v>
      </c>
      <c r="M387" s="4">
        <v>5</v>
      </c>
      <c r="N387" s="4">
        <v>2</v>
      </c>
      <c r="O387" s="4" t="s">
        <v>21</v>
      </c>
    </row>
    <row r="388" spans="1:15">
      <c r="A388" s="6" t="s">
        <v>66</v>
      </c>
      <c r="B388" s="3">
        <v>45682</v>
      </c>
      <c r="C388" s="4" t="s">
        <v>38</v>
      </c>
      <c r="D388" s="4" t="s">
        <v>30</v>
      </c>
      <c r="E388" s="4" t="s">
        <v>25</v>
      </c>
      <c r="F388" s="4" t="s">
        <v>63</v>
      </c>
      <c r="G388" s="4">
        <v>3</v>
      </c>
      <c r="H388" s="4">
        <v>49.39</v>
      </c>
      <c r="I388" s="4">
        <v>0.15</v>
      </c>
      <c r="J388" s="4">
        <v>125.94</v>
      </c>
      <c r="K388" s="4">
        <v>57.78</v>
      </c>
      <c r="L388" s="4" t="s">
        <v>14</v>
      </c>
      <c r="M388" s="4">
        <v>2</v>
      </c>
      <c r="N388" s="4">
        <v>4</v>
      </c>
      <c r="O388" s="4" t="s">
        <v>27</v>
      </c>
    </row>
    <row r="389" spans="1:15">
      <c r="A389" s="6" t="s">
        <v>406</v>
      </c>
      <c r="B389" s="3">
        <v>45961</v>
      </c>
      <c r="C389" s="4" t="s">
        <v>38</v>
      </c>
      <c r="D389" s="4" t="s">
        <v>17</v>
      </c>
      <c r="E389" s="4" t="s">
        <v>25</v>
      </c>
      <c r="F389" s="4" t="s">
        <v>26</v>
      </c>
      <c r="G389" s="4">
        <v>5</v>
      </c>
      <c r="H389" s="4">
        <v>221.29</v>
      </c>
      <c r="I389" s="4">
        <v>0</v>
      </c>
      <c r="J389" s="4">
        <v>1106.45</v>
      </c>
      <c r="K389" s="4">
        <v>669.96</v>
      </c>
      <c r="L389" s="4" t="s">
        <v>14</v>
      </c>
      <c r="M389" s="4">
        <v>5</v>
      </c>
      <c r="N389" s="4">
        <v>5</v>
      </c>
      <c r="O389" s="4" t="s">
        <v>27</v>
      </c>
    </row>
    <row r="390" spans="1:15">
      <c r="A390" s="6" t="s">
        <v>422</v>
      </c>
      <c r="B390" s="3">
        <v>45983</v>
      </c>
      <c r="C390" s="4" t="s">
        <v>29</v>
      </c>
      <c r="D390" s="4" t="s">
        <v>17</v>
      </c>
      <c r="E390" s="4" t="s">
        <v>18</v>
      </c>
      <c r="F390" s="4" t="s">
        <v>19</v>
      </c>
      <c r="G390" s="4">
        <v>5</v>
      </c>
      <c r="H390" s="4">
        <v>159.38</v>
      </c>
      <c r="I390" s="4">
        <v>0.15</v>
      </c>
      <c r="J390" s="4">
        <v>677.37</v>
      </c>
      <c r="K390" s="4">
        <v>390.99</v>
      </c>
      <c r="L390" s="4" t="s">
        <v>40</v>
      </c>
      <c r="M390" s="4">
        <v>3</v>
      </c>
      <c r="N390" s="4">
        <v>4</v>
      </c>
      <c r="O390" s="4" t="s">
        <v>21</v>
      </c>
    </row>
    <row r="391" spans="1:15">
      <c r="A391" s="6" t="s">
        <v>111</v>
      </c>
      <c r="B391" s="3">
        <v>45713</v>
      </c>
      <c r="C391" s="4" t="s">
        <v>38</v>
      </c>
      <c r="D391" s="4" t="s">
        <v>30</v>
      </c>
      <c r="E391" s="4" t="s">
        <v>46</v>
      </c>
      <c r="F391" s="4" t="s">
        <v>49</v>
      </c>
      <c r="G391" s="4">
        <v>3</v>
      </c>
      <c r="H391" s="4">
        <v>307.17</v>
      </c>
      <c r="I391" s="4">
        <v>0</v>
      </c>
      <c r="J391" s="4">
        <v>921.51</v>
      </c>
      <c r="K391" s="4">
        <v>545.57000000000005</v>
      </c>
      <c r="L391" s="4" t="s">
        <v>40</v>
      </c>
      <c r="M391" s="4">
        <v>6</v>
      </c>
      <c r="N391" s="4">
        <v>1</v>
      </c>
      <c r="O391" s="4" t="s">
        <v>21</v>
      </c>
    </row>
    <row r="392" spans="1:15">
      <c r="A392" s="6" t="s">
        <v>363</v>
      </c>
      <c r="B392" s="3">
        <v>45930</v>
      </c>
      <c r="C392" s="4" t="s">
        <v>29</v>
      </c>
      <c r="D392" s="4" t="s">
        <v>17</v>
      </c>
      <c r="E392" s="4" t="s">
        <v>31</v>
      </c>
      <c r="F392" s="4" t="s">
        <v>91</v>
      </c>
      <c r="G392" s="4">
        <v>5</v>
      </c>
      <c r="H392" s="4">
        <v>67.069999999999993</v>
      </c>
      <c r="I392" s="4">
        <v>0</v>
      </c>
      <c r="J392" s="4">
        <v>335.35</v>
      </c>
      <c r="K392" s="4">
        <v>167.35</v>
      </c>
      <c r="L392" s="4" t="s">
        <v>40</v>
      </c>
      <c r="M392" s="4">
        <v>2</v>
      </c>
      <c r="N392" s="4">
        <v>5</v>
      </c>
      <c r="O392" s="4" t="s">
        <v>21</v>
      </c>
    </row>
    <row r="393" spans="1:15">
      <c r="A393" s="6" t="s">
        <v>129</v>
      </c>
      <c r="B393" s="3">
        <v>45723</v>
      </c>
      <c r="C393" s="4" t="s">
        <v>16</v>
      </c>
      <c r="D393" s="4" t="s">
        <v>17</v>
      </c>
      <c r="E393" s="4" t="s">
        <v>31</v>
      </c>
      <c r="F393" s="4" t="s">
        <v>59</v>
      </c>
      <c r="G393" s="4">
        <v>3</v>
      </c>
      <c r="H393" s="4">
        <v>48.55</v>
      </c>
      <c r="I393" s="4">
        <v>0.1</v>
      </c>
      <c r="J393" s="4">
        <v>131.08000000000001</v>
      </c>
      <c r="K393" s="4">
        <v>87.28</v>
      </c>
      <c r="L393" s="4" t="s">
        <v>20</v>
      </c>
      <c r="M393" s="4"/>
      <c r="N393" s="4"/>
      <c r="O393" s="4" t="s">
        <v>21</v>
      </c>
    </row>
    <row r="394" spans="1:15">
      <c r="A394" s="6" t="s">
        <v>205</v>
      </c>
      <c r="B394" s="3">
        <v>45792</v>
      </c>
      <c r="C394" s="4" t="s">
        <v>16</v>
      </c>
      <c r="D394" s="4" t="s">
        <v>17</v>
      </c>
      <c r="E394" s="4" t="s">
        <v>18</v>
      </c>
      <c r="F394" s="4" t="s">
        <v>57</v>
      </c>
      <c r="G394" s="4">
        <v>2</v>
      </c>
      <c r="H394" s="4">
        <v>40.56</v>
      </c>
      <c r="I394" s="4">
        <v>0</v>
      </c>
      <c r="J394" s="4">
        <v>81.12</v>
      </c>
      <c r="K394" s="4">
        <v>36.549999999999997</v>
      </c>
      <c r="L394" s="4" t="s">
        <v>40</v>
      </c>
      <c r="M394" s="4">
        <v>3</v>
      </c>
      <c r="N394" s="4">
        <v>5</v>
      </c>
      <c r="O394" s="4" t="s">
        <v>21</v>
      </c>
    </row>
    <row r="395" spans="1:15">
      <c r="A395" s="6" t="s">
        <v>304</v>
      </c>
      <c r="B395" s="3">
        <v>45876</v>
      </c>
      <c r="C395" s="4" t="s">
        <v>71</v>
      </c>
      <c r="D395" s="4" t="s">
        <v>24</v>
      </c>
      <c r="E395" s="4" t="s">
        <v>31</v>
      </c>
      <c r="F395" s="4" t="s">
        <v>32</v>
      </c>
      <c r="G395" s="4">
        <v>1</v>
      </c>
      <c r="H395" s="4">
        <v>36.799999999999997</v>
      </c>
      <c r="I395" s="4">
        <v>0.1</v>
      </c>
      <c r="J395" s="4">
        <v>33.119999999999997</v>
      </c>
      <c r="K395" s="4">
        <v>16.53</v>
      </c>
      <c r="L395" s="4" t="s">
        <v>40</v>
      </c>
      <c r="M395" s="4">
        <v>7</v>
      </c>
      <c r="N395" s="4">
        <v>3</v>
      </c>
      <c r="O395" s="4" t="s">
        <v>21</v>
      </c>
    </row>
    <row r="396" spans="1:15">
      <c r="A396" s="6" t="s">
        <v>352</v>
      </c>
      <c r="B396" s="3">
        <v>45920</v>
      </c>
      <c r="C396" s="4" t="s">
        <v>16</v>
      </c>
      <c r="D396" s="4" t="s">
        <v>30</v>
      </c>
      <c r="E396" s="4" t="s">
        <v>46</v>
      </c>
      <c r="F396" s="4" t="s">
        <v>47</v>
      </c>
      <c r="G396" s="4">
        <v>1</v>
      </c>
      <c r="H396" s="4">
        <v>190.16</v>
      </c>
      <c r="I396" s="4">
        <v>0.2</v>
      </c>
      <c r="J396" s="4">
        <v>152.13</v>
      </c>
      <c r="K396" s="4">
        <v>101.65</v>
      </c>
      <c r="L396" s="4" t="s">
        <v>40</v>
      </c>
      <c r="M396" s="4">
        <v>8</v>
      </c>
      <c r="N396" s="4">
        <v>2</v>
      </c>
      <c r="O396" s="4" t="s">
        <v>21</v>
      </c>
    </row>
    <row r="397" spans="1:15">
      <c r="A397" s="6" t="s">
        <v>419</v>
      </c>
      <c r="B397" s="3">
        <v>45977</v>
      </c>
      <c r="C397" s="4" t="s">
        <v>23</v>
      </c>
      <c r="D397" s="4" t="s">
        <v>17</v>
      </c>
      <c r="E397" s="4" t="s">
        <v>25</v>
      </c>
      <c r="F397" s="4" t="s">
        <v>89</v>
      </c>
      <c r="G397" s="4">
        <v>2</v>
      </c>
      <c r="H397" s="4">
        <v>115.53</v>
      </c>
      <c r="I397" s="4">
        <v>0</v>
      </c>
      <c r="J397" s="4">
        <v>231.06</v>
      </c>
      <c r="K397" s="4">
        <v>108.88</v>
      </c>
      <c r="L397" s="4" t="s">
        <v>40</v>
      </c>
      <c r="M397" s="4">
        <v>4</v>
      </c>
      <c r="N397" s="4">
        <v>2</v>
      </c>
      <c r="O397" s="4" t="s">
        <v>21</v>
      </c>
    </row>
    <row r="398" spans="1:15">
      <c r="A398" s="6" t="s">
        <v>58</v>
      </c>
      <c r="B398" s="3">
        <v>45674</v>
      </c>
      <c r="C398" s="4" t="s">
        <v>16</v>
      </c>
      <c r="D398" s="4" t="s">
        <v>30</v>
      </c>
      <c r="E398" s="4" t="s">
        <v>31</v>
      </c>
      <c r="F398" s="4" t="s">
        <v>59</v>
      </c>
      <c r="G398" s="4">
        <v>3</v>
      </c>
      <c r="H398" s="4">
        <v>48.5</v>
      </c>
      <c r="I398" s="4">
        <v>0.05</v>
      </c>
      <c r="J398" s="4">
        <v>138.22</v>
      </c>
      <c r="K398" s="4">
        <v>79.83</v>
      </c>
      <c r="L398" s="4" t="s">
        <v>40</v>
      </c>
      <c r="M398" s="4">
        <v>5</v>
      </c>
      <c r="N398" s="4">
        <v>3</v>
      </c>
      <c r="O398" s="4" t="s">
        <v>21</v>
      </c>
    </row>
    <row r="399" spans="1:15">
      <c r="A399" s="6" t="s">
        <v>134</v>
      </c>
      <c r="B399" s="3">
        <v>45729</v>
      </c>
      <c r="C399" s="4" t="s">
        <v>29</v>
      </c>
      <c r="D399" s="4" t="s">
        <v>24</v>
      </c>
      <c r="E399" s="4" t="s">
        <v>31</v>
      </c>
      <c r="F399" s="4" t="s">
        <v>59</v>
      </c>
      <c r="G399" s="4">
        <v>2</v>
      </c>
      <c r="H399" s="4">
        <v>49.97</v>
      </c>
      <c r="I399" s="4">
        <v>0.05</v>
      </c>
      <c r="J399" s="4">
        <v>94.94</v>
      </c>
      <c r="K399" s="4">
        <v>56.92</v>
      </c>
      <c r="L399" s="4" t="s">
        <v>40</v>
      </c>
      <c r="M399" s="4">
        <v>2</v>
      </c>
      <c r="N399" s="4">
        <v>4</v>
      </c>
      <c r="O399" s="4" t="s">
        <v>21</v>
      </c>
    </row>
    <row r="400" spans="1:15">
      <c r="A400" s="6" t="s">
        <v>166</v>
      </c>
      <c r="B400" s="3">
        <v>45760</v>
      </c>
      <c r="C400" s="4" t="s">
        <v>38</v>
      </c>
      <c r="D400" s="4" t="s">
        <v>24</v>
      </c>
      <c r="E400" s="4" t="s">
        <v>25</v>
      </c>
      <c r="F400" s="4" t="s">
        <v>26</v>
      </c>
      <c r="G400" s="4">
        <v>4</v>
      </c>
      <c r="H400" s="4">
        <v>239.92</v>
      </c>
      <c r="I400" s="4">
        <v>0</v>
      </c>
      <c r="J400" s="4">
        <v>959.68</v>
      </c>
      <c r="K400" s="4">
        <v>527.34</v>
      </c>
      <c r="L400" s="4" t="s">
        <v>14</v>
      </c>
      <c r="M400" s="4">
        <v>1</v>
      </c>
      <c r="N400" s="4">
        <v>2</v>
      </c>
      <c r="O400" s="4" t="s">
        <v>27</v>
      </c>
    </row>
    <row r="401" spans="1:15">
      <c r="A401" s="6" t="s">
        <v>181</v>
      </c>
      <c r="B401" s="3">
        <v>45771</v>
      </c>
      <c r="C401" s="4" t="s">
        <v>23</v>
      </c>
      <c r="D401" s="4" t="s">
        <v>24</v>
      </c>
      <c r="E401" s="4" t="s">
        <v>31</v>
      </c>
      <c r="F401" s="4" t="s">
        <v>91</v>
      </c>
      <c r="G401" s="4">
        <v>2</v>
      </c>
      <c r="H401" s="4">
        <v>63.6</v>
      </c>
      <c r="I401" s="4">
        <v>0.1</v>
      </c>
      <c r="J401" s="4">
        <v>114.48</v>
      </c>
      <c r="K401" s="4">
        <v>71.849999999999994</v>
      </c>
      <c r="L401" s="4" t="s">
        <v>20</v>
      </c>
      <c r="M401" s="4"/>
      <c r="N401" s="4"/>
      <c r="O401" s="4" t="s">
        <v>21</v>
      </c>
    </row>
    <row r="402" spans="1:15">
      <c r="A402" s="6" t="s">
        <v>467</v>
      </c>
      <c r="B402" s="3">
        <v>46022</v>
      </c>
      <c r="C402" s="4" t="s">
        <v>29</v>
      </c>
      <c r="D402" s="4" t="s">
        <v>17</v>
      </c>
      <c r="E402" s="4" t="s">
        <v>46</v>
      </c>
      <c r="F402" s="4" t="s">
        <v>49</v>
      </c>
      <c r="G402" s="4">
        <v>4</v>
      </c>
      <c r="H402" s="4">
        <v>324.29000000000002</v>
      </c>
      <c r="I402" s="4">
        <v>0.1</v>
      </c>
      <c r="J402" s="4">
        <v>1167.44</v>
      </c>
      <c r="K402" s="4">
        <v>759.58</v>
      </c>
      <c r="L402" s="4" t="s">
        <v>40</v>
      </c>
      <c r="M402" s="4">
        <v>7</v>
      </c>
      <c r="N402" s="4">
        <v>3</v>
      </c>
      <c r="O402" s="4" t="s">
        <v>21</v>
      </c>
    </row>
    <row r="403" spans="1:15">
      <c r="A403" s="6" t="s">
        <v>378</v>
      </c>
      <c r="B403" s="3">
        <v>45941</v>
      </c>
      <c r="C403" s="4" t="s">
        <v>23</v>
      </c>
      <c r="D403" s="4" t="s">
        <v>17</v>
      </c>
      <c r="E403" s="4" t="s">
        <v>25</v>
      </c>
      <c r="F403" s="4" t="s">
        <v>63</v>
      </c>
      <c r="G403" s="4">
        <v>1</v>
      </c>
      <c r="H403" s="4">
        <v>54.19</v>
      </c>
      <c r="I403" s="4">
        <v>0.2</v>
      </c>
      <c r="J403" s="4">
        <v>43.35</v>
      </c>
      <c r="K403" s="4">
        <v>20.82</v>
      </c>
      <c r="L403" s="4" t="s">
        <v>14</v>
      </c>
      <c r="M403" s="4">
        <v>1</v>
      </c>
      <c r="N403" s="4">
        <v>3</v>
      </c>
      <c r="O403" s="4" t="s">
        <v>27</v>
      </c>
    </row>
    <row r="404" spans="1:15">
      <c r="A404" s="6" t="s">
        <v>186</v>
      </c>
      <c r="B404" s="3">
        <v>45774</v>
      </c>
      <c r="C404" s="4" t="s">
        <v>16</v>
      </c>
      <c r="D404" s="4" t="s">
        <v>17</v>
      </c>
      <c r="E404" s="4" t="s">
        <v>25</v>
      </c>
      <c r="F404" s="4" t="s">
        <v>89</v>
      </c>
      <c r="G404" s="4">
        <v>3</v>
      </c>
      <c r="H404" s="4">
        <v>101.41</v>
      </c>
      <c r="I404" s="4">
        <v>0.15</v>
      </c>
      <c r="J404" s="4">
        <v>258.60000000000002</v>
      </c>
      <c r="K404" s="4">
        <v>153.03</v>
      </c>
      <c r="L404" s="4" t="s">
        <v>20</v>
      </c>
      <c r="M404" s="4"/>
      <c r="N404" s="4"/>
      <c r="O404" s="4" t="s">
        <v>21</v>
      </c>
    </row>
    <row r="405" spans="1:15">
      <c r="A405" s="6" t="s">
        <v>457</v>
      </c>
      <c r="B405" s="3">
        <v>46012</v>
      </c>
      <c r="C405" s="4" t="s">
        <v>29</v>
      </c>
      <c r="D405" s="4" t="s">
        <v>17</v>
      </c>
      <c r="E405" s="4" t="s">
        <v>46</v>
      </c>
      <c r="F405" s="4" t="s">
        <v>49</v>
      </c>
      <c r="G405" s="4">
        <v>2</v>
      </c>
      <c r="H405" s="4">
        <v>291.12</v>
      </c>
      <c r="I405" s="4">
        <v>0.05</v>
      </c>
      <c r="J405" s="4">
        <v>553.13</v>
      </c>
      <c r="K405" s="4">
        <v>350.6</v>
      </c>
      <c r="L405" s="4" t="s">
        <v>20</v>
      </c>
      <c r="M405" s="4"/>
      <c r="N405" s="4"/>
      <c r="O405" s="4" t="s">
        <v>21</v>
      </c>
    </row>
    <row r="406" spans="1:15">
      <c r="A406" s="6" t="s">
        <v>266</v>
      </c>
      <c r="B406" s="3">
        <v>45840</v>
      </c>
      <c r="C406" s="4" t="s">
        <v>29</v>
      </c>
      <c r="D406" s="4" t="s">
        <v>24</v>
      </c>
      <c r="E406" s="4" t="s">
        <v>25</v>
      </c>
      <c r="F406" s="4" t="s">
        <v>26</v>
      </c>
      <c r="G406" s="4">
        <v>4</v>
      </c>
      <c r="H406" s="4">
        <v>244.42</v>
      </c>
      <c r="I406" s="4">
        <v>0</v>
      </c>
      <c r="J406" s="4">
        <v>977.68</v>
      </c>
      <c r="K406" s="4">
        <v>491.25</v>
      </c>
      <c r="L406" s="4" t="s">
        <v>40</v>
      </c>
      <c r="M406" s="4">
        <v>3</v>
      </c>
      <c r="N406" s="4">
        <v>3</v>
      </c>
      <c r="O406" s="4" t="s">
        <v>21</v>
      </c>
    </row>
    <row r="407" spans="1:15">
      <c r="A407" s="6" t="s">
        <v>267</v>
      </c>
      <c r="B407" s="3">
        <v>45840</v>
      </c>
      <c r="C407" s="4" t="s">
        <v>16</v>
      </c>
      <c r="D407" s="4" t="s">
        <v>30</v>
      </c>
      <c r="E407" s="4" t="s">
        <v>35</v>
      </c>
      <c r="F407" s="4" t="s">
        <v>36</v>
      </c>
      <c r="G407" s="4">
        <v>1</v>
      </c>
      <c r="H407" s="4">
        <v>39.840000000000003</v>
      </c>
      <c r="I407" s="4">
        <v>0.05</v>
      </c>
      <c r="J407" s="4">
        <v>37.85</v>
      </c>
      <c r="K407" s="4">
        <v>15.11</v>
      </c>
      <c r="L407" s="4" t="s">
        <v>40</v>
      </c>
      <c r="M407" s="4">
        <v>4</v>
      </c>
      <c r="N407" s="4">
        <v>5</v>
      </c>
      <c r="O407" s="4" t="s">
        <v>21</v>
      </c>
    </row>
    <row r="408" spans="1:15">
      <c r="A408" s="6" t="s">
        <v>225</v>
      </c>
      <c r="B408" s="3">
        <v>45816</v>
      </c>
      <c r="C408" s="4" t="s">
        <v>23</v>
      </c>
      <c r="D408" s="4" t="s">
        <v>24</v>
      </c>
      <c r="E408" s="4" t="s">
        <v>18</v>
      </c>
      <c r="F408" s="4" t="s">
        <v>80</v>
      </c>
      <c r="G408" s="4">
        <v>2</v>
      </c>
      <c r="H408" s="4">
        <v>115.02</v>
      </c>
      <c r="I408" s="4">
        <v>0.05</v>
      </c>
      <c r="J408" s="4">
        <v>218.54</v>
      </c>
      <c r="K408" s="4">
        <v>115.26</v>
      </c>
      <c r="L408" s="4" t="s">
        <v>14</v>
      </c>
      <c r="M408" s="4">
        <v>4</v>
      </c>
      <c r="N408" s="4">
        <v>3</v>
      </c>
      <c r="O408" s="4" t="s">
        <v>27</v>
      </c>
    </row>
    <row r="409" spans="1:15">
      <c r="A409" s="6" t="s">
        <v>109</v>
      </c>
      <c r="B409" s="3">
        <v>45710</v>
      </c>
      <c r="C409" s="4" t="s">
        <v>16</v>
      </c>
      <c r="D409" s="4" t="s">
        <v>30</v>
      </c>
      <c r="E409" s="4" t="s">
        <v>25</v>
      </c>
      <c r="F409" s="4" t="s">
        <v>89</v>
      </c>
      <c r="G409" s="4">
        <v>4</v>
      </c>
      <c r="H409" s="4">
        <v>103.06</v>
      </c>
      <c r="I409" s="4">
        <v>0.15</v>
      </c>
      <c r="J409" s="4">
        <v>350.4</v>
      </c>
      <c r="K409" s="4">
        <v>223.75</v>
      </c>
      <c r="L409" s="4" t="s">
        <v>40</v>
      </c>
      <c r="M409" s="4">
        <v>1</v>
      </c>
      <c r="N409" s="4">
        <v>3</v>
      </c>
      <c r="O409" s="4" t="s">
        <v>21</v>
      </c>
    </row>
    <row r="410" spans="1:15">
      <c r="A410" s="6" t="s">
        <v>440</v>
      </c>
      <c r="B410" s="3">
        <v>45999</v>
      </c>
      <c r="C410" s="4" t="s">
        <v>23</v>
      </c>
      <c r="D410" s="4" t="s">
        <v>17</v>
      </c>
      <c r="E410" s="4" t="s">
        <v>31</v>
      </c>
      <c r="F410" s="4" t="s">
        <v>91</v>
      </c>
      <c r="G410" s="4">
        <v>2</v>
      </c>
      <c r="H410" s="4">
        <v>60.33</v>
      </c>
      <c r="I410" s="4">
        <v>0.1</v>
      </c>
      <c r="J410" s="4">
        <v>108.59</v>
      </c>
      <c r="K410" s="4">
        <v>65.900000000000006</v>
      </c>
      <c r="L410" s="4" t="s">
        <v>14</v>
      </c>
      <c r="M410" s="4">
        <v>4</v>
      </c>
      <c r="N410" s="4">
        <v>1</v>
      </c>
      <c r="O410" s="4" t="s">
        <v>27</v>
      </c>
    </row>
    <row r="411" spans="1:15">
      <c r="A411" s="6" t="s">
        <v>34</v>
      </c>
      <c r="B411" s="3">
        <v>45663</v>
      </c>
      <c r="C411" s="4" t="s">
        <v>16</v>
      </c>
      <c r="D411" s="4" t="s">
        <v>24</v>
      </c>
      <c r="E411" s="4" t="s">
        <v>35</v>
      </c>
      <c r="F411" s="4" t="s">
        <v>36</v>
      </c>
      <c r="G411" s="4">
        <v>4</v>
      </c>
      <c r="H411" s="4">
        <v>42.13</v>
      </c>
      <c r="I411" s="4">
        <v>0</v>
      </c>
      <c r="J411" s="4">
        <v>168.52</v>
      </c>
      <c r="K411" s="4">
        <v>58.62</v>
      </c>
      <c r="L411" s="4" t="s">
        <v>20</v>
      </c>
      <c r="M411" s="4"/>
      <c r="N411" s="4"/>
      <c r="O411" s="4" t="s">
        <v>21</v>
      </c>
    </row>
    <row r="412" spans="1:15">
      <c r="A412" s="6" t="s">
        <v>125</v>
      </c>
      <c r="B412" s="3">
        <v>45721</v>
      </c>
      <c r="C412" s="4" t="s">
        <v>16</v>
      </c>
      <c r="D412" s="4" t="s">
        <v>17</v>
      </c>
      <c r="E412" s="4" t="s">
        <v>31</v>
      </c>
      <c r="F412" s="4" t="s">
        <v>59</v>
      </c>
      <c r="G412" s="4">
        <v>5</v>
      </c>
      <c r="H412" s="4">
        <v>47.85</v>
      </c>
      <c r="I412" s="4">
        <v>0.05</v>
      </c>
      <c r="J412" s="4">
        <v>227.29</v>
      </c>
      <c r="K412" s="4">
        <v>141.03</v>
      </c>
      <c r="L412" s="4" t="s">
        <v>40</v>
      </c>
      <c r="M412" s="4">
        <v>3</v>
      </c>
      <c r="N412" s="4">
        <v>2</v>
      </c>
      <c r="O412" s="4" t="s">
        <v>21</v>
      </c>
    </row>
    <row r="413" spans="1:15">
      <c r="A413" s="6" t="s">
        <v>143</v>
      </c>
      <c r="B413" s="3">
        <v>45741</v>
      </c>
      <c r="C413" s="4" t="s">
        <v>16</v>
      </c>
      <c r="D413" s="4" t="s">
        <v>17</v>
      </c>
      <c r="E413" s="4" t="s">
        <v>46</v>
      </c>
      <c r="F413" s="4" t="s">
        <v>68</v>
      </c>
      <c r="G413" s="4">
        <v>2</v>
      </c>
      <c r="H413" s="4">
        <v>102.02</v>
      </c>
      <c r="I413" s="4">
        <v>0.2</v>
      </c>
      <c r="J413" s="4">
        <v>163.22999999999999</v>
      </c>
      <c r="K413" s="4">
        <v>101.88</v>
      </c>
      <c r="L413" s="4" t="s">
        <v>40</v>
      </c>
      <c r="M413" s="4">
        <v>6</v>
      </c>
      <c r="N413" s="4">
        <v>2</v>
      </c>
      <c r="O413" s="4" t="s">
        <v>21</v>
      </c>
    </row>
    <row r="414" spans="1:15">
      <c r="A414" s="6" t="s">
        <v>162</v>
      </c>
      <c r="B414" s="3">
        <v>45759</v>
      </c>
      <c r="C414" s="4" t="s">
        <v>23</v>
      </c>
      <c r="D414" s="4" t="s">
        <v>17</v>
      </c>
      <c r="E414" s="4" t="s">
        <v>46</v>
      </c>
      <c r="F414" s="4" t="s">
        <v>47</v>
      </c>
      <c r="G414" s="4">
        <v>3</v>
      </c>
      <c r="H414" s="4">
        <v>195.68</v>
      </c>
      <c r="I414" s="4">
        <v>0</v>
      </c>
      <c r="J414" s="4">
        <v>587.04</v>
      </c>
      <c r="K414" s="4">
        <v>262.38</v>
      </c>
      <c r="L414" s="4" t="s">
        <v>40</v>
      </c>
      <c r="M414" s="4">
        <v>2</v>
      </c>
      <c r="N414" s="4">
        <v>2</v>
      </c>
      <c r="O414" s="4" t="s">
        <v>21</v>
      </c>
    </row>
    <row r="415" spans="1:15">
      <c r="A415" s="6" t="s">
        <v>103</v>
      </c>
      <c r="B415" s="3">
        <v>45706</v>
      </c>
      <c r="C415" s="4" t="s">
        <v>71</v>
      </c>
      <c r="D415" s="4" t="s">
        <v>17</v>
      </c>
      <c r="E415" s="4" t="s">
        <v>25</v>
      </c>
      <c r="F415" s="4" t="s">
        <v>26</v>
      </c>
      <c r="G415" s="4">
        <v>2</v>
      </c>
      <c r="H415" s="4">
        <v>258.73</v>
      </c>
      <c r="I415" s="4">
        <v>0.1</v>
      </c>
      <c r="J415" s="4">
        <v>465.71</v>
      </c>
      <c r="K415" s="4">
        <v>264.27</v>
      </c>
      <c r="L415" s="4" t="s">
        <v>40</v>
      </c>
      <c r="M415" s="4">
        <v>3</v>
      </c>
      <c r="N415" s="4">
        <v>1</v>
      </c>
      <c r="O415" s="4" t="s">
        <v>21</v>
      </c>
    </row>
    <row r="416" spans="1:15">
      <c r="A416" s="6" t="s">
        <v>37</v>
      </c>
      <c r="B416" s="3">
        <v>45664</v>
      </c>
      <c r="C416" s="4" t="s">
        <v>29</v>
      </c>
      <c r="D416" s="4" t="s">
        <v>24</v>
      </c>
      <c r="E416" s="4" t="s">
        <v>35</v>
      </c>
      <c r="F416" s="4" t="s">
        <v>39</v>
      </c>
      <c r="G416" s="4">
        <v>5</v>
      </c>
      <c r="H416" s="4">
        <v>71.66</v>
      </c>
      <c r="I416" s="4">
        <v>0.1</v>
      </c>
      <c r="J416" s="4">
        <v>322.47000000000003</v>
      </c>
      <c r="K416" s="4">
        <v>158.74</v>
      </c>
      <c r="L416" s="4" t="s">
        <v>40</v>
      </c>
      <c r="M416" s="4">
        <v>7</v>
      </c>
      <c r="N416" s="4">
        <v>4</v>
      </c>
      <c r="O416" s="4" t="s">
        <v>21</v>
      </c>
    </row>
    <row r="417" spans="1:15">
      <c r="A417" s="6" t="s">
        <v>335</v>
      </c>
      <c r="B417" s="3">
        <v>45905</v>
      </c>
      <c r="C417" s="4" t="s">
        <v>16</v>
      </c>
      <c r="D417" s="4" t="s">
        <v>17</v>
      </c>
      <c r="E417" s="4" t="s">
        <v>25</v>
      </c>
      <c r="F417" s="4" t="s">
        <v>63</v>
      </c>
      <c r="G417" s="4">
        <v>5</v>
      </c>
      <c r="H417" s="4">
        <v>46.06</v>
      </c>
      <c r="I417" s="4">
        <v>0</v>
      </c>
      <c r="J417" s="4">
        <v>230.3</v>
      </c>
      <c r="K417" s="4">
        <v>107.44</v>
      </c>
      <c r="L417" s="4" t="s">
        <v>33</v>
      </c>
      <c r="M417" s="4"/>
      <c r="N417" s="4"/>
      <c r="O417" s="4" t="s">
        <v>21</v>
      </c>
    </row>
    <row r="418" spans="1:15">
      <c r="A418" s="6" t="s">
        <v>453</v>
      </c>
      <c r="B418" s="3">
        <v>46011</v>
      </c>
      <c r="C418" s="4" t="s">
        <v>16</v>
      </c>
      <c r="D418" s="4" t="s">
        <v>17</v>
      </c>
      <c r="E418" s="4" t="s">
        <v>25</v>
      </c>
      <c r="F418" s="4" t="s">
        <v>26</v>
      </c>
      <c r="G418" s="4">
        <v>1</v>
      </c>
      <c r="H418" s="4">
        <v>226.4</v>
      </c>
      <c r="I418" s="4">
        <v>0.15</v>
      </c>
      <c r="J418" s="4">
        <v>192.44</v>
      </c>
      <c r="K418" s="4">
        <v>136.33000000000001</v>
      </c>
      <c r="L418" s="4" t="s">
        <v>40</v>
      </c>
      <c r="M418" s="4">
        <v>5</v>
      </c>
      <c r="N418" s="4">
        <v>1</v>
      </c>
      <c r="O418" s="4" t="s">
        <v>21</v>
      </c>
    </row>
    <row r="419" spans="1:15">
      <c r="A419" s="6" t="s">
        <v>97</v>
      </c>
      <c r="B419" s="3">
        <v>45702</v>
      </c>
      <c r="C419" s="4" t="s">
        <v>29</v>
      </c>
      <c r="D419" s="4" t="s">
        <v>30</v>
      </c>
      <c r="E419" s="4" t="s">
        <v>46</v>
      </c>
      <c r="F419" s="4" t="s">
        <v>68</v>
      </c>
      <c r="G419" s="4">
        <v>3</v>
      </c>
      <c r="H419" s="4">
        <v>92.15</v>
      </c>
      <c r="I419" s="4">
        <v>0.1</v>
      </c>
      <c r="J419" s="4">
        <v>248.81</v>
      </c>
      <c r="K419" s="4">
        <v>141.44999999999999</v>
      </c>
      <c r="L419" s="4" t="s">
        <v>40</v>
      </c>
      <c r="M419" s="4">
        <v>7</v>
      </c>
      <c r="N419" s="4">
        <v>2</v>
      </c>
      <c r="O419" s="4" t="s">
        <v>21</v>
      </c>
    </row>
    <row r="420" spans="1:15">
      <c r="A420" s="6" t="s">
        <v>172</v>
      </c>
      <c r="B420" s="3">
        <v>45766</v>
      </c>
      <c r="C420" s="4" t="s">
        <v>23</v>
      </c>
      <c r="D420" s="4" t="s">
        <v>30</v>
      </c>
      <c r="E420" s="4" t="s">
        <v>46</v>
      </c>
      <c r="F420" s="4" t="s">
        <v>68</v>
      </c>
      <c r="G420" s="4">
        <v>2</v>
      </c>
      <c r="H420" s="4">
        <v>91.54</v>
      </c>
      <c r="I420" s="4">
        <v>0</v>
      </c>
      <c r="J420" s="4">
        <v>183.08</v>
      </c>
      <c r="K420" s="4">
        <v>89.59</v>
      </c>
      <c r="L420" s="4" t="s">
        <v>40</v>
      </c>
      <c r="M420" s="4">
        <v>2</v>
      </c>
      <c r="N420" s="4">
        <v>3</v>
      </c>
      <c r="O420" s="4" t="s">
        <v>21</v>
      </c>
    </row>
    <row r="421" spans="1:15">
      <c r="A421" s="7" t="s">
        <v>270</v>
      </c>
      <c r="B421" s="8">
        <v>45842</v>
      </c>
      <c r="C421" s="9" t="s">
        <v>38</v>
      </c>
      <c r="D421" s="9" t="s">
        <v>17</v>
      </c>
      <c r="E421" s="9" t="s">
        <v>46</v>
      </c>
      <c r="F421" s="9" t="s">
        <v>47</v>
      </c>
      <c r="G421" s="9">
        <v>5</v>
      </c>
      <c r="H421" s="9">
        <v>186.46</v>
      </c>
      <c r="I421" s="9">
        <v>0.15</v>
      </c>
      <c r="J421" s="9">
        <v>792.46</v>
      </c>
      <c r="K421" s="9">
        <v>455.28</v>
      </c>
      <c r="L421" s="9" t="s">
        <v>14</v>
      </c>
      <c r="M421" s="9">
        <v>3</v>
      </c>
      <c r="N421" s="9">
        <v>1</v>
      </c>
      <c r="O421" s="9" t="s">
        <v>27</v>
      </c>
    </row>
  </sheetData>
  <conditionalFormatting sqref="A2:A421">
    <cfRule type="duplicateValues" dxfId="0" priority="2"/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A700C-4871-492A-AE6E-BB34B319B1C7}">
  <dimension ref="A1:E13"/>
  <sheetViews>
    <sheetView topLeftCell="A2" zoomScale="63" workbookViewId="0">
      <selection activeCell="E11" sqref="E11"/>
    </sheetView>
  </sheetViews>
  <sheetFormatPr defaultRowHeight="14.4"/>
  <cols>
    <col min="1" max="1" width="23.5546875" customWidth="1"/>
    <col min="2" max="2" width="18.109375" customWidth="1"/>
    <col min="3" max="3" width="15.88671875" customWidth="1"/>
    <col min="4" max="6" width="8.88671875" customWidth="1"/>
  </cols>
  <sheetData>
    <row r="1" spans="1:5" ht="21">
      <c r="A1" s="55" t="s">
        <v>507</v>
      </c>
      <c r="B1" s="55"/>
      <c r="C1" s="55"/>
    </row>
    <row r="2" spans="1:5">
      <c r="A2" s="16"/>
      <c r="B2" s="16"/>
      <c r="C2" s="16"/>
      <c r="E2" s="15"/>
    </row>
    <row r="3" spans="1:5">
      <c r="A3" s="35" t="s">
        <v>508</v>
      </c>
      <c r="B3" s="36" t="s">
        <v>509</v>
      </c>
      <c r="C3" s="37" t="s">
        <v>486</v>
      </c>
    </row>
    <row r="4" spans="1:5">
      <c r="A4" s="33" t="s">
        <v>510</v>
      </c>
      <c r="B4" s="17">
        <f>COUNTA(Raw_Data!A2:A421)</f>
        <v>420</v>
      </c>
      <c r="C4" s="34" t="s">
        <v>523</v>
      </c>
    </row>
    <row r="5" spans="1:5">
      <c r="A5" s="33" t="s">
        <v>511</v>
      </c>
      <c r="B5" s="17">
        <f>COUNTBLANK(Raw_Data!J2:J421)</f>
        <v>0</v>
      </c>
      <c r="C5" s="34" t="s">
        <v>523</v>
      </c>
    </row>
    <row r="6" spans="1:5">
      <c r="A6" s="33" t="s">
        <v>514</v>
      </c>
      <c r="B6" s="18">
        <f>COUNTIF(Raw_Data!N2:N421,"&lt;1")+COUNTIF(Raw_Data!N2:N421,"&gt;5")</f>
        <v>1</v>
      </c>
      <c r="C6" s="34" t="s">
        <v>516</v>
      </c>
    </row>
    <row r="7" spans="1:5">
      <c r="A7" s="33" t="s">
        <v>512</v>
      </c>
      <c r="B7" s="17">
        <f>COUNTIF(Raw_Data!G2:G421,"&lt;=0")</f>
        <v>1</v>
      </c>
      <c r="C7" s="34" t="s">
        <v>516</v>
      </c>
    </row>
    <row r="8" spans="1:5">
      <c r="A8" s="33" t="s">
        <v>513</v>
      </c>
      <c r="B8" s="17">
        <v>0</v>
      </c>
      <c r="C8" s="34" t="s">
        <v>523</v>
      </c>
    </row>
    <row r="9" spans="1:5">
      <c r="A9" s="33" t="s">
        <v>515</v>
      </c>
      <c r="B9" s="17">
        <v>1</v>
      </c>
      <c r="C9" s="34" t="s">
        <v>516</v>
      </c>
    </row>
    <row r="10" spans="1:5" ht="115.8" customHeight="1">
      <c r="A10" s="33" t="s">
        <v>519</v>
      </c>
      <c r="B10" s="17" t="s">
        <v>520</v>
      </c>
      <c r="C10" s="34" t="s">
        <v>524</v>
      </c>
    </row>
    <row r="11" spans="1:5" ht="150.6" customHeight="1">
      <c r="A11" s="33" t="s">
        <v>517</v>
      </c>
      <c r="B11" s="18" t="s">
        <v>518</v>
      </c>
      <c r="C11" s="34" t="s">
        <v>524</v>
      </c>
    </row>
    <row r="12" spans="1:5" ht="49.8" customHeight="1">
      <c r="A12" s="33" t="s">
        <v>521</v>
      </c>
      <c r="B12" s="17">
        <f>COUNTBLANK(Raw_Data!N2:N421)</f>
        <v>112</v>
      </c>
      <c r="C12" s="34" t="s">
        <v>516</v>
      </c>
    </row>
    <row r="13" spans="1:5" ht="181.8" customHeight="1">
      <c r="A13" s="38" t="s">
        <v>517</v>
      </c>
      <c r="B13" s="39" t="s">
        <v>522</v>
      </c>
      <c r="C13" s="40" t="s">
        <v>524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workbookViewId="0">
      <pane ySplit="1" topLeftCell="A2" activePane="bottomLeft" state="frozen"/>
      <selection pane="bottomLeft" activeCell="E8" sqref="E8"/>
    </sheetView>
  </sheetViews>
  <sheetFormatPr defaultRowHeight="14.4"/>
  <cols>
    <col min="1" max="1" width="16" customWidth="1"/>
    <col min="2" max="2" width="42" customWidth="1"/>
  </cols>
  <sheetData>
    <row r="1" spans="1:2">
      <c r="A1" s="5" t="s">
        <v>468</v>
      </c>
      <c r="B1" s="30" t="s">
        <v>469</v>
      </c>
    </row>
    <row r="2" spans="1:2">
      <c r="A2" s="28" t="s">
        <v>470</v>
      </c>
      <c r="B2" s="29" t="s">
        <v>471</v>
      </c>
    </row>
    <row r="3" spans="1:2" ht="43.2">
      <c r="A3" s="28" t="s">
        <v>472</v>
      </c>
      <c r="B3" s="29" t="s">
        <v>473</v>
      </c>
    </row>
    <row r="4" spans="1:2" ht="28.8">
      <c r="A4" s="28" t="s">
        <v>474</v>
      </c>
      <c r="B4" s="29" t="s">
        <v>475</v>
      </c>
    </row>
    <row r="5" spans="1:2">
      <c r="A5" s="28" t="s">
        <v>476</v>
      </c>
      <c r="B5" s="29" t="s">
        <v>477</v>
      </c>
    </row>
    <row r="6" spans="1:2" ht="28.8">
      <c r="A6" s="28" t="s">
        <v>478</v>
      </c>
      <c r="B6" s="29" t="s">
        <v>479</v>
      </c>
    </row>
    <row r="7" spans="1:2" ht="28.8">
      <c r="A7" s="28" t="s">
        <v>480</v>
      </c>
      <c r="B7" s="29" t="s">
        <v>481</v>
      </c>
    </row>
    <row r="8" spans="1:2" ht="28.8">
      <c r="A8" s="31" t="s">
        <v>482</v>
      </c>
      <c r="B8" s="32" t="s">
        <v>483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showGridLines="0" workbookViewId="0">
      <pane ySplit="1" topLeftCell="A2" activePane="bottomLeft" state="frozen"/>
      <selection pane="bottomLeft" activeCell="B21" sqref="B21"/>
    </sheetView>
  </sheetViews>
  <sheetFormatPr defaultRowHeight="14.4"/>
  <cols>
    <col min="1" max="1" width="11.33203125" customWidth="1"/>
    <col min="2" max="2" width="65.88671875" customWidth="1"/>
    <col min="3" max="3" width="20.21875" customWidth="1"/>
  </cols>
  <sheetData>
    <row r="1" spans="1:3">
      <c r="A1" s="21" t="s">
        <v>484</v>
      </c>
      <c r="B1" s="22" t="s">
        <v>485</v>
      </c>
      <c r="C1" s="23" t="s">
        <v>486</v>
      </c>
    </row>
    <row r="2" spans="1:3">
      <c r="A2" s="26">
        <v>1</v>
      </c>
      <c r="B2" s="14" t="s">
        <v>487</v>
      </c>
      <c r="C2" s="20" t="s">
        <v>506</v>
      </c>
    </row>
    <row r="3" spans="1:3">
      <c r="A3" s="26">
        <v>2</v>
      </c>
      <c r="B3" s="14" t="s">
        <v>488</v>
      </c>
      <c r="C3" s="20" t="s">
        <v>506</v>
      </c>
    </row>
    <row r="4" spans="1:3" ht="28.8">
      <c r="A4" s="26">
        <v>3</v>
      </c>
      <c r="B4" s="14" t="s">
        <v>489</v>
      </c>
      <c r="C4" s="20" t="s">
        <v>506</v>
      </c>
    </row>
    <row r="5" spans="1:3" ht="28.8">
      <c r="A5" s="26">
        <v>4</v>
      </c>
      <c r="B5" s="14" t="s">
        <v>490</v>
      </c>
      <c r="C5" s="20" t="s">
        <v>506</v>
      </c>
    </row>
    <row r="6" spans="1:3" ht="28.8">
      <c r="A6" s="26">
        <v>5</v>
      </c>
      <c r="B6" s="14" t="s">
        <v>491</v>
      </c>
      <c r="C6" s="20" t="s">
        <v>506</v>
      </c>
    </row>
    <row r="7" spans="1:3" ht="28.8">
      <c r="A7" s="26">
        <v>6</v>
      </c>
      <c r="B7" s="14" t="s">
        <v>492</v>
      </c>
      <c r="C7" s="20" t="s">
        <v>506</v>
      </c>
    </row>
    <row r="8" spans="1:3" ht="28.8">
      <c r="A8" s="27">
        <v>7</v>
      </c>
      <c r="B8" s="24" t="s">
        <v>493</v>
      </c>
      <c r="C8" s="25" t="s">
        <v>506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Regional Sales</vt:lpstr>
      <vt:lpstr>Channel_Sales</vt:lpstr>
      <vt:lpstr>Category_Sales</vt:lpstr>
      <vt:lpstr>KPI_Dashboard</vt:lpstr>
      <vt:lpstr>Raw_Data</vt:lpstr>
      <vt:lpstr>Data_Quality</vt:lpstr>
      <vt:lpstr>Project_Overview</vt:lpstr>
      <vt:lpstr>Build_Steps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Shz Q</cp:lastModifiedBy>
  <cp:lastPrinted>2026-10-18T14:39:30Z</cp:lastPrinted>
  <dcterms:created xsi:type="dcterms:W3CDTF">2026-10-17T13:34:39Z</dcterms:created>
  <dcterms:modified xsi:type="dcterms:W3CDTF">2026-10-20T10:13:37Z</dcterms:modified>
</cp:coreProperties>
</file>